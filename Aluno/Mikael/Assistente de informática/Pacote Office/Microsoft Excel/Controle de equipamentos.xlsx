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uno\Mikael\Assistente de informática\Pacote Office\Microsoft Excel\"/>
    </mc:Choice>
  </mc:AlternateContent>
  <xr:revisionPtr revIDLastSave="0" documentId="13_ncr:1_{91F46411-1655-49BE-BB8B-C5659AD0DFBB}" xr6:coauthVersionLast="47" xr6:coauthVersionMax="47" xr10:uidLastSave="{00000000-0000-0000-0000-000000000000}"/>
  <bookViews>
    <workbookView xWindow="-105" yWindow="0" windowWidth="12210" windowHeight="12885" activeTab="1" xr2:uid="{DD4990BA-EC01-4CC3-B156-74A1F2C41D62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7" i="2"/>
  <c r="E8" i="2"/>
  <c r="E9" i="2"/>
  <c r="E6" i="2"/>
  <c r="E4" i="2"/>
  <c r="E5" i="2"/>
  <c r="D9" i="2"/>
  <c r="D8" i="2"/>
  <c r="D7" i="2"/>
  <c r="D6" i="2"/>
  <c r="D5" i="2"/>
  <c r="D4" i="2"/>
  <c r="D3" i="2"/>
  <c r="Q2" i="1"/>
  <c r="Q3" i="1"/>
  <c r="Q4" i="1"/>
  <c r="Q5" i="1"/>
  <c r="Q6" i="1"/>
  <c r="Q7" i="1"/>
  <c r="Q8" i="1"/>
  <c r="Q9" i="1"/>
  <c r="Q10" i="1"/>
  <c r="Q11" i="1"/>
  <c r="Q12" i="1"/>
  <c r="Q13" i="1"/>
  <c r="P2" i="1"/>
  <c r="P3" i="1"/>
  <c r="P4" i="1"/>
  <c r="P5" i="1"/>
  <c r="P6" i="1"/>
  <c r="P7" i="1"/>
  <c r="P8" i="1"/>
  <c r="P9" i="1"/>
  <c r="P10" i="1"/>
  <c r="P11" i="1"/>
  <c r="P12" i="1"/>
  <c r="P13" i="1"/>
  <c r="O2" i="1"/>
  <c r="O3" i="1"/>
  <c r="O4" i="1"/>
  <c r="O5" i="1"/>
  <c r="O6" i="1"/>
  <c r="O7" i="1"/>
  <c r="O8" i="1"/>
  <c r="O9" i="1"/>
  <c r="O10" i="1"/>
  <c r="O11" i="1"/>
  <c r="O12" i="1"/>
  <c r="O13" i="1"/>
  <c r="N2" i="1"/>
  <c r="N3" i="1"/>
  <c r="N4" i="1"/>
  <c r="N5" i="1"/>
  <c r="N6" i="1"/>
  <c r="N7" i="1"/>
  <c r="N8" i="1"/>
  <c r="N9" i="1"/>
  <c r="N10" i="1"/>
  <c r="N11" i="1"/>
  <c r="N12" i="1"/>
  <c r="N13" i="1"/>
  <c r="M10" i="1"/>
  <c r="M11" i="1"/>
  <c r="M12" i="1"/>
  <c r="M13" i="1"/>
  <c r="M9" i="1"/>
  <c r="M8" i="1"/>
  <c r="M7" i="1"/>
  <c r="M6" i="1"/>
  <c r="M4" i="1"/>
  <c r="M5" i="1"/>
  <c r="M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tc={7E49158B-7370-40DC-AE5D-FA37B6220C6D}</author>
  </authors>
  <commentList>
    <comment ref="N1" authorId="0" shapeId="0" xr:uid="{7E49158B-7370-40DC-AE5D-FA37B6220C6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Aplicar regra de formatação
Condicional para os equipamentos com a data de garantias vencidas.
1. Selecione o intervalo das datas
2. Formatação condicional
3. Regra de realce das células / É menor do que
4. =hoje( )
5. Clique na aba de preenchimento e selecione texto Vermelho.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tc={B2504D50-377D-41DA-AEC0-EEC1E14BA8D1}</author>
    <author>tc={D886DC58-ABC3-4523-82A9-1C0A5B09D332}</author>
  </authors>
  <commentList>
    <comment ref="D2" authorId="0" shapeId="0" xr:uid="{B2504D50-377D-41DA-AEC0-EEC1E14BA8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Condição para o cálculo da comissão
VENDA&lt;=2500 - 2,5%
ACIMA DE 3500 - 3,5%</t>
      </text>
    </comment>
    <comment ref="E2" authorId="1" shapeId="0" xr:uid="{D886DC58-ABC3-4523-82A9-1C0A5B09D3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Condição para cálculo da comissão 2
VENDA &lt;= 3000,00 - 2,85%
VENDA &lt;= 7000,00 - 3,75%
ACIMA DE 7000,00 - 4,25%</t>
      </text>
    </comment>
  </commentList>
</comments>
</file>

<file path=xl/sharedStrings.xml><?xml version="1.0" encoding="utf-8"?>
<sst xmlns="http://schemas.openxmlformats.org/spreadsheetml/2006/main" count="155" uniqueCount="82">
  <si>
    <t>DATA COMPRA</t>
  </si>
  <si>
    <t>DATA INSTALÇÃO</t>
  </si>
  <si>
    <t>SETOR</t>
  </si>
  <si>
    <t>EQUIPAMENTO</t>
  </si>
  <si>
    <t>MARCA</t>
  </si>
  <si>
    <t>MEMÓRIA RAM</t>
  </si>
  <si>
    <t>PROCESSADOR</t>
  </si>
  <si>
    <t xml:space="preserve">DISPOSITIVO ARMAZENAMENTO </t>
  </si>
  <si>
    <t>INTERNET</t>
  </si>
  <si>
    <t>TEMPO DE GARANTIA</t>
  </si>
  <si>
    <t>DATA VENC. GARANTIA</t>
  </si>
  <si>
    <t>USUÁRIO</t>
  </si>
  <si>
    <t>ENDEREÇO NA REDE</t>
  </si>
  <si>
    <t>ENDEREÇO IP</t>
  </si>
  <si>
    <t>INFORMÁTICA</t>
  </si>
  <si>
    <t>OLAVO</t>
  </si>
  <si>
    <t>COMPUTADOR I5</t>
  </si>
  <si>
    <t>HAYOM</t>
  </si>
  <si>
    <t>16GB</t>
  </si>
  <si>
    <t>HD 500GB</t>
  </si>
  <si>
    <t>SIM</t>
  </si>
  <si>
    <t>INTEL</t>
  </si>
  <si>
    <t>LAB1-CUCAM01</t>
  </si>
  <si>
    <t>MIKAEL</t>
  </si>
  <si>
    <t>192.168.10.02</t>
  </si>
  <si>
    <t>192.168.10.01</t>
  </si>
  <si>
    <t>BIL</t>
  </si>
  <si>
    <t>COMPRAS</t>
  </si>
  <si>
    <t>GEORGEANA</t>
  </si>
  <si>
    <t>LAB1-CUCAM03</t>
  </si>
  <si>
    <t>LAB1-CUCAM02</t>
  </si>
  <si>
    <t>192.168.10.03</t>
  </si>
  <si>
    <t>ADMINISTRAÇÃO</t>
  </si>
  <si>
    <t>NATANAEL</t>
  </si>
  <si>
    <t>LAB1-CUCAM04</t>
  </si>
  <si>
    <t>192.168.10.04</t>
  </si>
  <si>
    <t>REJANE</t>
  </si>
  <si>
    <t>LAB1-CUCAM05</t>
  </si>
  <si>
    <t>192.168.10.05</t>
  </si>
  <si>
    <t>192.168.10.06</t>
  </si>
  <si>
    <t>192.168.10.07</t>
  </si>
  <si>
    <t>LAB1-CUCAM06</t>
  </si>
  <si>
    <t>LAB1-CUCAM07</t>
  </si>
  <si>
    <t>RH</t>
  </si>
  <si>
    <t>PAMELA</t>
  </si>
  <si>
    <t>ALMOXARIFADO</t>
  </si>
  <si>
    <t>WILTON</t>
  </si>
  <si>
    <t>LAB1-CUCAM08</t>
  </si>
  <si>
    <t>192.168.10.08</t>
  </si>
  <si>
    <t>LAB1-CUCAM09</t>
  </si>
  <si>
    <t>192.168.10.09</t>
  </si>
  <si>
    <t>LAB1-CUCAM10</t>
  </si>
  <si>
    <t>192.168.10.10</t>
  </si>
  <si>
    <t>LAB1-CUCAM11</t>
  </si>
  <si>
    <t>192.168.10.11</t>
  </si>
  <si>
    <t>LAB1-CUCAM12</t>
  </si>
  <si>
    <t>192.168.10.12</t>
  </si>
  <si>
    <t>EVELLYN</t>
  </si>
  <si>
    <t>PAULO</t>
  </si>
  <si>
    <t>FINANCEIRO</t>
  </si>
  <si>
    <t>LUCAS</t>
  </si>
  <si>
    <t>RIAN</t>
  </si>
  <si>
    <t>TEMPO DE USO (ANO)</t>
  </si>
  <si>
    <t>MÊS</t>
  </si>
  <si>
    <t>DIA</t>
  </si>
  <si>
    <t>DATA</t>
  </si>
  <si>
    <t>VENDEDOR</t>
  </si>
  <si>
    <t>VALOR  VENDA</t>
  </si>
  <si>
    <t>VALOR DE COMISSÃO</t>
  </si>
  <si>
    <t>CARLOS</t>
  </si>
  <si>
    <t>EDUARDO</t>
  </si>
  <si>
    <t>FRANCISCO</t>
  </si>
  <si>
    <t>REGINALDO</t>
  </si>
  <si>
    <t>ALFREDO</t>
  </si>
  <si>
    <t>FUNÇÃO LÓGICA "SE"</t>
  </si>
  <si>
    <t>RICARDO</t>
  </si>
  <si>
    <t>VALOR COMISSÃO 2</t>
  </si>
  <si>
    <t>Outro exemplo:</t>
  </si>
  <si>
    <t>Condição para cálculo da comissão 2</t>
  </si>
  <si>
    <t>VENDA &lt;= 3000,00 - 2,85%</t>
  </si>
  <si>
    <t>VENDA &lt;= 7000,00 - 3,75%</t>
  </si>
  <si>
    <t>ACIMA DE 7000,00 - 4,25%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</si>
</sst>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Segoe UI"/>
      <family val="2"/>
    </font>
    <font>
      <b/>
      <sz val="11"/>
      <color rgb="FFFFFF00"/>
      <name val="Aptos Narrow"/>
      <family val="2"/>
      <scheme val="minor"/>
    </font>
    <font>
      <b/>
      <sz val="13.9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2" fontId="0" fillId="0" borderId="0" xfId="0" applyNumberFormat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21">
    <dxf>
      <font>
        <color rgb="FF9C0006"/>
      </font>
    </dxf>
    <dxf>
      <font>
        <color rgb="FF9C0006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BORATÓRIO" id="{85AD1D0D-F260-4638-B15D-D7A9AE060A90}" userId="LABORATÓRIO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8D68A7-256C-4DA9-8E44-F5D66538EDB6}" name="Tabela1" displayName="Tabela1" ref="A1:Q13" totalsRowShown="0" headerRowDxfId="20" dataDxfId="19">
  <autoFilter ref="A1:Q13" xr:uid="{778D68A7-256C-4DA9-8E44-F5D66538EDB6}"/>
  <tableColumns count="17">
    <tableColumn id="1" xr3:uid="{4D179AEB-B8C5-40FE-8749-8AD46EE71E00}" name="DATA COMPRA" dataDxfId="18"/>
    <tableColumn id="2" xr3:uid="{526EC6DA-E65A-44B3-B81B-F9B7F33D3D3E}" name="DATA INSTALÇÃO" dataDxfId="17"/>
    <tableColumn id="3" xr3:uid="{9B655001-F841-4AD9-886D-A749499E18D9}" name="SETOR" dataDxfId="16"/>
    <tableColumn id="4" xr3:uid="{EDBEEB9A-32FC-4A12-85F5-5D82B8A58601}" name="USUÁRIO" dataDxfId="15"/>
    <tableColumn id="5" xr3:uid="{3260276C-E6F9-4BA3-801A-21882CE5B3D8}" name="ENDEREÇO NA REDE" dataDxfId="14"/>
    <tableColumn id="6" xr3:uid="{DE2A117B-BA38-4D5D-9344-420BA107763C}" name="ENDEREÇO IP" dataDxfId="13"/>
    <tableColumn id="7" xr3:uid="{68E81E0E-98FE-468F-B381-FDF616A83222}" name="EQUIPAMENTO" dataDxfId="12"/>
    <tableColumn id="8" xr3:uid="{3ABB1697-B49D-41D7-9135-55C896FCAF3B}" name="MARCA" dataDxfId="11"/>
    <tableColumn id="9" xr3:uid="{01E2ED06-B3D8-4ADA-AA64-BA969C53126A}" name="MEMÓRIA RAM" dataDxfId="10"/>
    <tableColumn id="10" xr3:uid="{821BAD2A-4D4D-4ED6-8345-49AE44DB9BF8}" name="PROCESSADOR" dataDxfId="9"/>
    <tableColumn id="11" xr3:uid="{91DF5090-D362-4771-86F7-95A6C5BE70CB}" name="DISPOSITIVO ARMAZENAMENTO " dataDxfId="8"/>
    <tableColumn id="12" xr3:uid="{E4E66165-1C53-4471-9EEF-CE7081943F9A}" name="INTERNET" dataDxfId="7"/>
    <tableColumn id="13" xr3:uid="{F363D3D7-76C5-43D2-9462-D02F968CACF7}" name="TEMPO DE GARANTIA" dataDxfId="6">
      <calculatedColumnFormula>365*2</calculatedColumnFormula>
    </tableColumn>
    <tableColumn id="14" xr3:uid="{174031FB-D27B-454D-BC8C-5F4D609B2B9B}" name="DATA VENC. GARANTIA" dataDxfId="5">
      <calculatedColumnFormula>A2+M2</calculatedColumnFormula>
    </tableColumn>
    <tableColumn id="15" xr3:uid="{36FA8A21-9AB4-46D0-BA82-E2F81A266D57}" name="TEMPO DE USO (ANO)" dataDxfId="4">
      <calculatedColumnFormula>DATEDIF(Tabela1[[#This Row],[DATA INSTALÇÃO]],TODAY(),"Y")</calculatedColumnFormula>
    </tableColumn>
    <tableColumn id="17" xr3:uid="{CAAAEFFF-FBE9-428B-BA37-731D47DCB068}" name="MÊS" dataDxfId="3">
      <calculatedColumnFormula>DATEDIF(Tabela1[[#This Row],[DATA INSTALÇÃO]],TODAY(),"YM")</calculatedColumnFormula>
    </tableColumn>
    <tableColumn id="16" xr3:uid="{995AC691-BC48-44BB-AD15-FFE6BDD3A20C}" name="DIA" dataDxfId="2">
      <calculatedColumnFormula>DATEDIF(Tabela1[[#This Row],[DATA INSTALÇÃO]],TODAY(),"MD")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6-08-25T17:00:12.50" personId="{85AD1D0D-F260-4638-B15D-D7A9AE060A90}" id="{7E49158B-7370-40DC-AE5D-FA37B6220C6D}">
    <text xml:space="preserve">Aplicar regra de formatação
Condicional para os equipamentos com a data de garantias vencidas.
1. Selecione o intervalo das datas
2. Formatação condicional
3. Regra de realce das células / É menor do que
4. =hoje( )
5. Clique na aba de preenchimento e selecione texto Vermelho.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6-08-26T16:48:47.69" personId="{85AD1D0D-F260-4638-B15D-D7A9AE060A90}" id="{B2504D50-377D-41DA-AEC0-EEC1E14BA8D1}">
    <text>Condição para o cálculo da comissão
VENDA&lt;=2500 - 2,5%
ACIMA DE 3500 - 3,5%</text>
  </threadedComment>
  <threadedComment ref="E2" dT="2026-08-26T17:07:36.08" personId="{85AD1D0D-F260-4638-B15D-D7A9AE060A90}" id="{D886DC58-ABC3-4523-82A9-1C0A5B09D332}">
    <text>Condição para cálculo da comissão 2
VENDA &lt;= 3000,00 - 2,85%
VENDA &lt;= 7000,00 - 3,75%
ACIMA DE 7000,00 - 4,25%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1BC3-D4DC-45FE-8785-8C59888032AC}">
  <dimension ref="A1:Q16"/>
  <sheetViews>
    <sheetView zoomScale="80" zoomScaleNormal="80" workbookViewId="0">
      <selection activeCell="P13" sqref="P13"/>
    </sheetView>
  </sheetViews>
  <sheetFormatPr defaultRowHeight="15" x14ac:dyDescent="0.25"/>
  <cols>
    <col min="1" max="1" width="14" customWidth="1"/>
    <col min="2" max="2" width="16.28515625" style="1" customWidth="1"/>
    <col min="3" max="3" width="15.7109375" bestFit="1" customWidth="1"/>
    <col min="4" max="4" width="11.85546875" bestFit="1" customWidth="1"/>
    <col min="5" max="5" width="18.85546875" customWidth="1"/>
    <col min="6" max="6" width="13.7109375" bestFit="1" customWidth="1"/>
    <col min="7" max="7" width="15.7109375" bestFit="1" customWidth="1"/>
    <col min="8" max="8" width="7.85546875" customWidth="1"/>
    <col min="9" max="9" width="14.140625" customWidth="1"/>
    <col min="10" max="10" width="15.140625" bestFit="1" customWidth="1"/>
    <col min="11" max="11" width="29.28515625" customWidth="1"/>
    <col min="12" max="12" width="10" bestFit="1" customWidth="1"/>
    <col min="13" max="13" width="19.42578125" customWidth="1"/>
    <col min="14" max="14" width="21.140625" customWidth="1"/>
    <col min="15" max="15" width="15.85546875" bestFit="1" customWidth="1"/>
    <col min="16" max="16" width="15.85546875" customWidth="1"/>
  </cols>
  <sheetData>
    <row r="1" spans="1:17" s="2" customFormat="1" ht="30" x14ac:dyDescent="0.25">
      <c r="A1" s="2" t="s">
        <v>0</v>
      </c>
      <c r="B1" s="2" t="s">
        <v>1</v>
      </c>
      <c r="C1" s="2" t="s">
        <v>2</v>
      </c>
      <c r="D1" s="2" t="s">
        <v>11</v>
      </c>
      <c r="E1" s="2" t="s">
        <v>12</v>
      </c>
      <c r="F1" s="2" t="s">
        <v>13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62</v>
      </c>
      <c r="P1" s="2" t="s">
        <v>63</v>
      </c>
      <c r="Q1" s="2" t="s">
        <v>64</v>
      </c>
    </row>
    <row r="2" spans="1:17" x14ac:dyDescent="0.25">
      <c r="A2" s="3">
        <v>45327</v>
      </c>
      <c r="B2" s="4">
        <v>45327</v>
      </c>
      <c r="C2" s="5" t="s">
        <v>14</v>
      </c>
      <c r="D2" s="5" t="s">
        <v>15</v>
      </c>
      <c r="E2" s="5" t="s">
        <v>22</v>
      </c>
      <c r="F2" s="5" t="s">
        <v>25</v>
      </c>
      <c r="G2" s="5" t="s">
        <v>16</v>
      </c>
      <c r="H2" s="5" t="s">
        <v>17</v>
      </c>
      <c r="I2" s="5" t="s">
        <v>18</v>
      </c>
      <c r="J2" s="5" t="s">
        <v>21</v>
      </c>
      <c r="K2" s="5" t="s">
        <v>19</v>
      </c>
      <c r="L2" s="5" t="s">
        <v>20</v>
      </c>
      <c r="M2" s="5">
        <f>365*2</f>
        <v>730</v>
      </c>
      <c r="N2" s="3">
        <f>A2+M2</f>
        <v>46057</v>
      </c>
      <c r="O2" s="5">
        <f ca="1">DATEDIF(Tabela1[[#This Row],[DATA INSTALÇÃO]],TODAY(),"Y")</f>
        <v>2</v>
      </c>
      <c r="P2" s="5">
        <f ca="1">DATEDIF(Tabela1[[#This Row],[DATA INSTALÇÃO]],TODAY(),"YM")</f>
        <v>6</v>
      </c>
      <c r="Q2" s="5">
        <f ca="1">DATEDIF(Tabela1[[#This Row],[DATA INSTALÇÃO]],TODAY(),"MD")</f>
        <v>21</v>
      </c>
    </row>
    <row r="3" spans="1:17" x14ac:dyDescent="0.25">
      <c r="A3" s="3">
        <v>46255</v>
      </c>
      <c r="B3" s="4">
        <v>46255</v>
      </c>
      <c r="C3" s="5" t="s">
        <v>14</v>
      </c>
      <c r="D3" s="5" t="s">
        <v>26</v>
      </c>
      <c r="E3" s="5" t="s">
        <v>30</v>
      </c>
      <c r="F3" s="5" t="s">
        <v>24</v>
      </c>
      <c r="G3" s="5" t="s">
        <v>16</v>
      </c>
      <c r="H3" s="5" t="s">
        <v>17</v>
      </c>
      <c r="I3" s="5" t="s">
        <v>18</v>
      </c>
      <c r="J3" s="5" t="s">
        <v>21</v>
      </c>
      <c r="K3" s="5" t="s">
        <v>19</v>
      </c>
      <c r="L3" s="5" t="s">
        <v>20</v>
      </c>
      <c r="M3" s="5">
        <f>365*2</f>
        <v>730</v>
      </c>
      <c r="N3" s="3">
        <f>A3+M3</f>
        <v>46985</v>
      </c>
      <c r="O3" s="5">
        <f ca="1">DATEDIF(Tabela1[[#This Row],[DATA INSTALÇÃO]],TODAY(),"Y")</f>
        <v>0</v>
      </c>
      <c r="P3" s="5">
        <f ca="1">DATEDIF(Tabela1[[#This Row],[DATA INSTALÇÃO]],TODAY(),"YM")</f>
        <v>0</v>
      </c>
      <c r="Q3" s="5">
        <f ca="1">DATEDIF(Tabela1[[#This Row],[DATA INSTALÇÃO]],TODAY(),"MD")</f>
        <v>5</v>
      </c>
    </row>
    <row r="4" spans="1:17" s="5" customFormat="1" ht="15.75" customHeight="1" x14ac:dyDescent="0.25">
      <c r="A4" s="3">
        <v>45061</v>
      </c>
      <c r="B4" s="4">
        <v>46157</v>
      </c>
      <c r="C4" s="5" t="s">
        <v>27</v>
      </c>
      <c r="D4" s="5" t="s">
        <v>28</v>
      </c>
      <c r="E4" s="5" t="s">
        <v>29</v>
      </c>
      <c r="F4" s="5" t="s">
        <v>31</v>
      </c>
      <c r="G4" s="5" t="s">
        <v>16</v>
      </c>
      <c r="H4" s="5" t="s">
        <v>17</v>
      </c>
      <c r="I4" s="5" t="s">
        <v>18</v>
      </c>
      <c r="J4" s="5" t="s">
        <v>21</v>
      </c>
      <c r="K4" s="5" t="s">
        <v>19</v>
      </c>
      <c r="L4" s="5" t="s">
        <v>20</v>
      </c>
      <c r="M4" s="5">
        <f>365*3</f>
        <v>1095</v>
      </c>
      <c r="N4" s="3">
        <f>A4+M4</f>
        <v>46156</v>
      </c>
      <c r="O4" s="5">
        <f ca="1">DATEDIF(Tabela1[[#This Row],[DATA INSTALÇÃO]],TODAY(),"Y")</f>
        <v>0</v>
      </c>
      <c r="P4" s="5">
        <f ca="1">DATEDIF(Tabela1[[#This Row],[DATA INSTALÇÃO]],TODAY(),"YM")</f>
        <v>3</v>
      </c>
      <c r="Q4" s="5">
        <f ca="1">DATEDIF(Tabela1[[#This Row],[DATA INSTALÇÃO]],TODAY(),"MD")</f>
        <v>11</v>
      </c>
    </row>
    <row r="5" spans="1:17" s="5" customFormat="1" x14ac:dyDescent="0.25">
      <c r="A5" s="3">
        <v>45767</v>
      </c>
      <c r="B5" s="4">
        <v>45767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16</v>
      </c>
      <c r="H5" s="5" t="s">
        <v>17</v>
      </c>
      <c r="I5" s="5" t="s">
        <v>18</v>
      </c>
      <c r="J5" s="5" t="s">
        <v>21</v>
      </c>
      <c r="K5" s="5" t="s">
        <v>19</v>
      </c>
      <c r="L5" s="5" t="s">
        <v>20</v>
      </c>
      <c r="M5" s="5">
        <f>365*2</f>
        <v>730</v>
      </c>
      <c r="N5" s="3">
        <f>A5+M5</f>
        <v>46497</v>
      </c>
      <c r="O5" s="5">
        <f ca="1">DATEDIF(Tabela1[[#This Row],[DATA INSTALÇÃO]],TODAY(),"Y")</f>
        <v>1</v>
      </c>
      <c r="P5" s="5">
        <f ca="1">DATEDIF(Tabela1[[#This Row],[DATA INSTALÇÃO]],TODAY(),"YM")</f>
        <v>4</v>
      </c>
      <c r="Q5" s="5">
        <f ca="1">DATEDIF(Tabela1[[#This Row],[DATA INSTALÇÃO]],TODAY(),"MD")</f>
        <v>6</v>
      </c>
    </row>
    <row r="6" spans="1:17" s="5" customFormat="1" x14ac:dyDescent="0.25">
      <c r="A6" s="3">
        <v>46255</v>
      </c>
      <c r="B6" s="4">
        <v>46255</v>
      </c>
      <c r="C6" s="5" t="s">
        <v>32</v>
      </c>
      <c r="D6" s="5" t="s">
        <v>36</v>
      </c>
      <c r="E6" s="5" t="s">
        <v>37</v>
      </c>
      <c r="F6" s="5" t="s">
        <v>38</v>
      </c>
      <c r="G6" s="5" t="s">
        <v>16</v>
      </c>
      <c r="H6" s="5" t="s">
        <v>17</v>
      </c>
      <c r="I6" s="5" t="s">
        <v>18</v>
      </c>
      <c r="J6" s="5" t="s">
        <v>21</v>
      </c>
      <c r="K6" s="5" t="s">
        <v>19</v>
      </c>
      <c r="L6" s="5" t="s">
        <v>20</v>
      </c>
      <c r="M6" s="5">
        <f>365*2</f>
        <v>730</v>
      </c>
      <c r="N6" s="3">
        <f>A6+M6</f>
        <v>46985</v>
      </c>
      <c r="O6" s="5">
        <f ca="1">DATEDIF(Tabela1[[#This Row],[DATA INSTALÇÃO]],TODAY(),"Y")</f>
        <v>0</v>
      </c>
      <c r="P6" s="5">
        <f ca="1">DATEDIF(Tabela1[[#This Row],[DATA INSTALÇÃO]],TODAY(),"YM")</f>
        <v>0</v>
      </c>
      <c r="Q6" s="5">
        <f ca="1">DATEDIF(Tabela1[[#This Row],[DATA INSTALÇÃO]],TODAY(),"MD")</f>
        <v>5</v>
      </c>
    </row>
    <row r="7" spans="1:17" x14ac:dyDescent="0.25">
      <c r="A7" s="3">
        <v>46255</v>
      </c>
      <c r="B7" s="4">
        <v>46255</v>
      </c>
      <c r="C7" s="5" t="s">
        <v>43</v>
      </c>
      <c r="D7" s="5" t="s">
        <v>44</v>
      </c>
      <c r="E7" s="5" t="s">
        <v>41</v>
      </c>
      <c r="F7" s="5" t="s">
        <v>39</v>
      </c>
      <c r="G7" s="5" t="s">
        <v>16</v>
      </c>
      <c r="H7" s="5" t="s">
        <v>17</v>
      </c>
      <c r="I7" s="5" t="s">
        <v>18</v>
      </c>
      <c r="J7" s="5" t="s">
        <v>21</v>
      </c>
      <c r="K7" s="5" t="s">
        <v>19</v>
      </c>
      <c r="L7" s="5" t="s">
        <v>20</v>
      </c>
      <c r="M7" s="5">
        <f>365*2</f>
        <v>730</v>
      </c>
      <c r="N7" s="3">
        <f t="shared" ref="N7:N8" si="0">A7+M7</f>
        <v>46985</v>
      </c>
      <c r="O7" s="5">
        <f ca="1">DATEDIF(Tabela1[[#This Row],[DATA INSTALÇÃO]],TODAY(),"Y")</f>
        <v>0</v>
      </c>
      <c r="P7" s="5">
        <f ca="1">DATEDIF(Tabela1[[#This Row],[DATA INSTALÇÃO]],TODAY(),"YM")</f>
        <v>0</v>
      </c>
      <c r="Q7" s="5">
        <f ca="1">DATEDIF(Tabela1[[#This Row],[DATA INSTALÇÃO]],TODAY(),"MD")</f>
        <v>5</v>
      </c>
    </row>
    <row r="8" spans="1:17" x14ac:dyDescent="0.25">
      <c r="A8" s="3">
        <v>46255</v>
      </c>
      <c r="B8" s="4">
        <v>46255</v>
      </c>
      <c r="C8" s="5" t="s">
        <v>27</v>
      </c>
      <c r="D8" s="5" t="s">
        <v>23</v>
      </c>
      <c r="E8" s="5" t="s">
        <v>42</v>
      </c>
      <c r="F8" s="5" t="s">
        <v>40</v>
      </c>
      <c r="G8" s="5" t="s">
        <v>16</v>
      </c>
      <c r="H8" s="5" t="s">
        <v>17</v>
      </c>
      <c r="I8" s="5" t="s">
        <v>18</v>
      </c>
      <c r="J8" s="5" t="s">
        <v>21</v>
      </c>
      <c r="K8" s="5" t="s">
        <v>19</v>
      </c>
      <c r="L8" s="5" t="s">
        <v>20</v>
      </c>
      <c r="M8" s="5">
        <f>365*2</f>
        <v>730</v>
      </c>
      <c r="N8" s="3">
        <f t="shared" si="0"/>
        <v>46985</v>
      </c>
      <c r="O8" s="5">
        <f ca="1">DATEDIF(Tabela1[[#This Row],[DATA INSTALÇÃO]],TODAY(),"Y")</f>
        <v>0</v>
      </c>
      <c r="P8" s="5">
        <f ca="1">DATEDIF(Tabela1[[#This Row],[DATA INSTALÇÃO]],TODAY(),"YM")</f>
        <v>0</v>
      </c>
      <c r="Q8" s="5">
        <f ca="1">DATEDIF(Tabela1[[#This Row],[DATA INSTALÇÃO]],TODAY(),"MD")</f>
        <v>5</v>
      </c>
    </row>
    <row r="9" spans="1:17" x14ac:dyDescent="0.25">
      <c r="A9" s="3">
        <v>45757</v>
      </c>
      <c r="B9" s="4">
        <v>45757</v>
      </c>
      <c r="C9" s="5" t="s">
        <v>45</v>
      </c>
      <c r="D9" s="5" t="s">
        <v>46</v>
      </c>
      <c r="E9" s="5" t="s">
        <v>47</v>
      </c>
      <c r="F9" s="5" t="s">
        <v>48</v>
      </c>
      <c r="G9" s="5" t="s">
        <v>16</v>
      </c>
      <c r="H9" s="5" t="s">
        <v>17</v>
      </c>
      <c r="I9" s="5" t="s">
        <v>18</v>
      </c>
      <c r="J9" s="5" t="s">
        <v>21</v>
      </c>
      <c r="K9" s="5" t="s">
        <v>19</v>
      </c>
      <c r="L9" s="5" t="s">
        <v>20</v>
      </c>
      <c r="M9" s="5">
        <f>365*2</f>
        <v>730</v>
      </c>
      <c r="N9" s="3">
        <f t="shared" ref="N9" si="1">A9+M9</f>
        <v>46487</v>
      </c>
      <c r="O9" s="5">
        <f ca="1">DATEDIF(Tabela1[[#This Row],[DATA INSTALÇÃO]],TODAY(),"Y")</f>
        <v>1</v>
      </c>
      <c r="P9" s="5">
        <f ca="1">DATEDIF(Tabela1[[#This Row],[DATA INSTALÇÃO]],TODAY(),"YM")</f>
        <v>4</v>
      </c>
      <c r="Q9" s="5">
        <f ca="1">DATEDIF(Tabela1[[#This Row],[DATA INSTALÇÃO]],TODAY(),"MD")</f>
        <v>16</v>
      </c>
    </row>
    <row r="10" spans="1:17" x14ac:dyDescent="0.25">
      <c r="A10" s="3">
        <v>45158</v>
      </c>
      <c r="B10" s="4">
        <v>45158</v>
      </c>
      <c r="C10" s="5" t="s">
        <v>14</v>
      </c>
      <c r="D10" s="5" t="s">
        <v>57</v>
      </c>
      <c r="E10" s="5" t="s">
        <v>49</v>
      </c>
      <c r="F10" s="5" t="s">
        <v>50</v>
      </c>
      <c r="G10" s="5" t="s">
        <v>16</v>
      </c>
      <c r="H10" s="5" t="s">
        <v>17</v>
      </c>
      <c r="I10" s="5" t="s">
        <v>18</v>
      </c>
      <c r="J10" s="5" t="s">
        <v>21</v>
      </c>
      <c r="K10" s="5" t="s">
        <v>19</v>
      </c>
      <c r="L10" s="5" t="s">
        <v>20</v>
      </c>
      <c r="M10" s="5">
        <f t="shared" ref="M10:M13" si="2">365*2</f>
        <v>730</v>
      </c>
      <c r="N10" s="3">
        <f t="shared" ref="N10:N13" si="3">A10+M10</f>
        <v>45888</v>
      </c>
      <c r="O10" s="5">
        <f ca="1">DATEDIF(Tabela1[[#This Row],[DATA INSTALÇÃO]],TODAY(),"Y")</f>
        <v>3</v>
      </c>
      <c r="P10" s="5">
        <f ca="1">DATEDIF(Tabela1[[#This Row],[DATA INSTALÇÃO]],TODAY(),"YM")</f>
        <v>0</v>
      </c>
      <c r="Q10" s="5">
        <f ca="1">DATEDIF(Tabela1[[#This Row],[DATA INSTALÇÃO]],TODAY(),"MD")</f>
        <v>6</v>
      </c>
    </row>
    <row r="11" spans="1:17" x14ac:dyDescent="0.25">
      <c r="A11" s="4">
        <v>45524</v>
      </c>
      <c r="B11" s="4">
        <v>45631</v>
      </c>
      <c r="C11" s="5" t="s">
        <v>59</v>
      </c>
      <c r="D11" s="5" t="s">
        <v>58</v>
      </c>
      <c r="E11" s="5" t="s">
        <v>51</v>
      </c>
      <c r="F11" s="5" t="s">
        <v>52</v>
      </c>
      <c r="G11" s="5" t="s">
        <v>16</v>
      </c>
      <c r="H11" s="5" t="s">
        <v>17</v>
      </c>
      <c r="I11" s="5" t="s">
        <v>18</v>
      </c>
      <c r="J11" s="5" t="s">
        <v>21</v>
      </c>
      <c r="K11" s="5" t="s">
        <v>19</v>
      </c>
      <c r="L11" s="5" t="s">
        <v>20</v>
      </c>
      <c r="M11" s="5">
        <f t="shared" si="2"/>
        <v>730</v>
      </c>
      <c r="N11" s="3">
        <f t="shared" si="3"/>
        <v>46254</v>
      </c>
      <c r="O11" s="5">
        <f ca="1">DATEDIF(Tabela1[[#This Row],[DATA INSTALÇÃO]],TODAY(),"Y")</f>
        <v>1</v>
      </c>
      <c r="P11" s="5">
        <f ca="1">DATEDIF(Tabela1[[#This Row],[DATA INSTALÇÃO]],TODAY(),"YM")</f>
        <v>8</v>
      </c>
      <c r="Q11" s="5">
        <f ca="1">DATEDIF(Tabela1[[#This Row],[DATA INSTALÇÃO]],TODAY(),"MD")</f>
        <v>21</v>
      </c>
    </row>
    <row r="12" spans="1:17" x14ac:dyDescent="0.25">
      <c r="A12" s="3">
        <v>45631</v>
      </c>
      <c r="B12" s="4">
        <v>45509</v>
      </c>
      <c r="C12" s="5" t="s">
        <v>45</v>
      </c>
      <c r="D12" s="5" t="s">
        <v>60</v>
      </c>
      <c r="E12" s="5" t="s">
        <v>53</v>
      </c>
      <c r="F12" s="5" t="s">
        <v>54</v>
      </c>
      <c r="G12" s="5" t="s">
        <v>16</v>
      </c>
      <c r="H12" s="5" t="s">
        <v>17</v>
      </c>
      <c r="I12" s="5" t="s">
        <v>18</v>
      </c>
      <c r="J12" s="5" t="s">
        <v>21</v>
      </c>
      <c r="K12" s="5" t="s">
        <v>19</v>
      </c>
      <c r="L12" s="5" t="s">
        <v>20</v>
      </c>
      <c r="M12" s="5">
        <f t="shared" si="2"/>
        <v>730</v>
      </c>
      <c r="N12" s="3">
        <f>A12+M12</f>
        <v>46361</v>
      </c>
      <c r="O12" s="5">
        <f ca="1">DATEDIF(Tabela1[[#This Row],[DATA INSTALÇÃO]],TODAY(),"Y")</f>
        <v>2</v>
      </c>
      <c r="P12" s="5">
        <f ca="1">DATEDIF(Tabela1[[#This Row],[DATA INSTALÇÃO]],TODAY(),"YM")</f>
        <v>0</v>
      </c>
      <c r="Q12" s="5">
        <f ca="1">DATEDIF(Tabela1[[#This Row],[DATA INSTALÇÃO]],TODAY(),"MD")</f>
        <v>21</v>
      </c>
    </row>
    <row r="13" spans="1:17" x14ac:dyDescent="0.25">
      <c r="A13" s="3">
        <v>44415</v>
      </c>
      <c r="B13" s="4">
        <v>44415</v>
      </c>
      <c r="C13" s="5" t="s">
        <v>43</v>
      </c>
      <c r="D13" s="5" t="s">
        <v>61</v>
      </c>
      <c r="E13" s="5" t="s">
        <v>55</v>
      </c>
      <c r="F13" s="5" t="s">
        <v>56</v>
      </c>
      <c r="G13" s="5" t="s">
        <v>16</v>
      </c>
      <c r="H13" s="5" t="s">
        <v>17</v>
      </c>
      <c r="I13" s="5" t="s">
        <v>18</v>
      </c>
      <c r="J13" s="5" t="s">
        <v>21</v>
      </c>
      <c r="K13" s="5" t="s">
        <v>19</v>
      </c>
      <c r="L13" s="5" t="s">
        <v>20</v>
      </c>
      <c r="M13" s="5">
        <f t="shared" si="2"/>
        <v>730</v>
      </c>
      <c r="N13" s="3">
        <f t="shared" si="3"/>
        <v>45145</v>
      </c>
      <c r="O13" s="5">
        <f ca="1">DATEDIF(Tabela1[[#This Row],[DATA INSTALÇÃO]],TODAY(),"Y")</f>
        <v>5</v>
      </c>
      <c r="P13" s="5">
        <f ca="1">DATEDIF(Tabela1[[#This Row],[DATA INSTALÇÃO]],TODAY(),"YM")</f>
        <v>0</v>
      </c>
      <c r="Q13" s="5">
        <f ca="1">DATEDIF(Tabela1[[#This Row],[DATA INSTALÇÃO]],TODAY(),"MD")</f>
        <v>19</v>
      </c>
    </row>
    <row r="14" spans="1:17" x14ac:dyDescent="0.25">
      <c r="E14" s="5"/>
      <c r="F14" s="5"/>
      <c r="G14" s="5"/>
      <c r="H14" s="5"/>
      <c r="I14" s="5"/>
      <c r="J14" s="5"/>
      <c r="K14" s="5"/>
      <c r="L14" s="5"/>
      <c r="M14" s="5"/>
      <c r="N14" s="3"/>
    </row>
    <row r="15" spans="1:17" x14ac:dyDescent="0.25">
      <c r="E15" s="5"/>
      <c r="F15" s="5"/>
      <c r="G15" s="5"/>
      <c r="H15" s="5"/>
      <c r="I15" s="5"/>
      <c r="J15" s="5"/>
      <c r="K15" s="5"/>
      <c r="L15" s="5"/>
      <c r="M15" s="5"/>
      <c r="N15" s="3"/>
    </row>
    <row r="16" spans="1:17" x14ac:dyDescent="0.25">
      <c r="E16" s="5"/>
      <c r="F16" s="5"/>
      <c r="G16" s="5"/>
      <c r="H16" s="5"/>
      <c r="I16" s="5"/>
      <c r="J16" s="5"/>
      <c r="K16" s="5"/>
      <c r="L16" s="5"/>
      <c r="M16" s="5"/>
      <c r="N16" s="3"/>
    </row>
  </sheetData>
  <phoneticPr fontId="2" type="noConversion"/>
  <conditionalFormatting sqref="N2:N13">
    <cfRule type="cellIs" dxfId="1" priority="1" operator="lessThan">
      <formula>NOW()</formula>
    </cfRule>
  </conditionalFormatting>
  <conditionalFormatting sqref="N5:N13">
    <cfRule type="cellIs" dxfId="0" priority="2" operator="lessThan">
      <formula>46065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DE52-BFEF-4881-819A-57D0A5E3A898}">
  <dimension ref="A1:F14"/>
  <sheetViews>
    <sheetView tabSelected="1" workbookViewId="0">
      <selection activeCell="E3" sqref="E3"/>
    </sheetView>
  </sheetViews>
  <sheetFormatPr defaultRowHeight="15" x14ac:dyDescent="0.25"/>
  <cols>
    <col min="1" max="1" width="10.42578125" bestFit="1" customWidth="1"/>
    <col min="2" max="2" width="11" bestFit="1" customWidth="1"/>
    <col min="3" max="3" width="13.7109375" bestFit="1" customWidth="1"/>
    <col min="4" max="4" width="11.5703125" customWidth="1"/>
    <col min="5" max="5" width="12.28515625" customWidth="1"/>
  </cols>
  <sheetData>
    <row r="1" spans="1:6" x14ac:dyDescent="0.25">
      <c r="A1" s="10" t="s">
        <v>74</v>
      </c>
      <c r="B1" s="10"/>
      <c r="C1" s="10"/>
      <c r="D1" s="10"/>
      <c r="E1" s="10"/>
    </row>
    <row r="2" spans="1:6" ht="28.5" customHeight="1" x14ac:dyDescent="0.25">
      <c r="A2" s="7" t="s">
        <v>65</v>
      </c>
      <c r="B2" s="7" t="s">
        <v>66</v>
      </c>
      <c r="C2" s="7" t="s">
        <v>67</v>
      </c>
      <c r="D2" s="8" t="s">
        <v>68</v>
      </c>
      <c r="E2" s="2" t="s">
        <v>76</v>
      </c>
    </row>
    <row r="3" spans="1:6" x14ac:dyDescent="0.25">
      <c r="A3" s="6">
        <v>46143</v>
      </c>
      <c r="B3" t="s">
        <v>69</v>
      </c>
      <c r="C3" s="9">
        <v>3000</v>
      </c>
      <c r="D3">
        <f>IF(C3&lt;=2500,C3*2.5%,C3*3.5%)</f>
        <v>105.00000000000001</v>
      </c>
      <c r="E3" s="9">
        <f>IF(C3&lt;=3000,C3*2.85%,IF(C3&lt;=7000,C3*3.75%,C3*4.25%))</f>
        <v>85.5</v>
      </c>
    </row>
    <row r="4" spans="1:6" x14ac:dyDescent="0.25">
      <c r="A4" s="6">
        <v>46144</v>
      </c>
      <c r="B4" t="s">
        <v>70</v>
      </c>
      <c r="C4" s="9">
        <v>7200</v>
      </c>
      <c r="D4">
        <f>IF(C4&lt;=2500,C4*2.5%,C4*3.5%)</f>
        <v>252.00000000000003</v>
      </c>
      <c r="E4" s="12">
        <f>IF(C4&lt;=3000,C4*2.85%,IF(C4&lt;=7000,C4*3.75%,C4*4.25%))</f>
        <v>306</v>
      </c>
    </row>
    <row r="5" spans="1:6" x14ac:dyDescent="0.25">
      <c r="A5" s="6">
        <v>46145</v>
      </c>
      <c r="B5" t="s">
        <v>71</v>
      </c>
      <c r="C5" s="9">
        <v>4500</v>
      </c>
      <c r="D5">
        <f>IF(C5&lt;=2500,C5*2.5%,C5*3.5%)</f>
        <v>157.50000000000003</v>
      </c>
      <c r="E5" s="9">
        <f>IF(C5&lt;=3000,C5*2.85%,IF(C5&lt;=7000,C5*3.75%,C5*4.25%))</f>
        <v>168.75</v>
      </c>
    </row>
    <row r="6" spans="1:6" x14ac:dyDescent="0.25">
      <c r="A6" s="6">
        <v>46146</v>
      </c>
      <c r="B6" t="s">
        <v>70</v>
      </c>
      <c r="C6" s="9">
        <v>5500</v>
      </c>
      <c r="D6">
        <f>IF(C6&lt;=2500,C6*2.5%,C6*3.5%)</f>
        <v>192.50000000000003</v>
      </c>
      <c r="E6" s="9">
        <f>IF(C6&lt;=3000,C6*2.85%,IF(C6&lt;=7000,C6*3.75%,C6*4.25%))</f>
        <v>206.25</v>
      </c>
    </row>
    <row r="7" spans="1:6" x14ac:dyDescent="0.25">
      <c r="A7" s="6">
        <v>46144</v>
      </c>
      <c r="B7" t="s">
        <v>72</v>
      </c>
      <c r="C7" s="9">
        <v>4582.25</v>
      </c>
      <c r="D7" s="9">
        <f>IF(C7&lt;=2500,C7*2.5%,C7*3.5%)</f>
        <v>160.37875000000003</v>
      </c>
      <c r="E7" s="9">
        <f t="shared" ref="E7:E9" si="0">IF(C7&lt;=3000,C7*2.85%,IF(C7&lt;=7000,C7*3.75%,C7*4.25%))</f>
        <v>171.83437499999999</v>
      </c>
    </row>
    <row r="8" spans="1:6" x14ac:dyDescent="0.25">
      <c r="A8" s="6">
        <v>46144</v>
      </c>
      <c r="B8" t="s">
        <v>73</v>
      </c>
      <c r="C8" s="9">
        <v>3890</v>
      </c>
      <c r="D8" s="9">
        <f>IF(C8&lt;=2500,C8*2.5%,C8*3.5%)</f>
        <v>136.15</v>
      </c>
      <c r="E8" s="9">
        <f t="shared" si="0"/>
        <v>145.875</v>
      </c>
    </row>
    <row r="9" spans="1:6" x14ac:dyDescent="0.25">
      <c r="A9" s="6">
        <v>46145</v>
      </c>
      <c r="B9" t="s">
        <v>75</v>
      </c>
      <c r="C9">
        <v>2845.85</v>
      </c>
      <c r="D9" s="9">
        <f>IF(C9&lt;=2500,C9*2.5%,C9*3.5%)</f>
        <v>99.60475000000001</v>
      </c>
      <c r="E9" s="9">
        <f t="shared" si="0"/>
        <v>81.106724999999997</v>
      </c>
    </row>
    <row r="10" spans="1:6" ht="18" x14ac:dyDescent="0.25">
      <c r="F10" s="11" t="s">
        <v>77</v>
      </c>
    </row>
    <row r="11" spans="1:6" ht="18" x14ac:dyDescent="0.25">
      <c r="F11" s="11" t="s">
        <v>78</v>
      </c>
    </row>
    <row r="12" spans="1:6" ht="18" x14ac:dyDescent="0.25">
      <c r="F12" s="11" t="s">
        <v>79</v>
      </c>
    </row>
    <row r="13" spans="1:6" ht="18" x14ac:dyDescent="0.25">
      <c r="F13" s="11" t="s">
        <v>80</v>
      </c>
    </row>
    <row r="14" spans="1:6" ht="18" x14ac:dyDescent="0.25">
      <c r="F14" s="11" t="s">
        <v>81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2026-08-21T17:05:15Z</dcterms:created>
  <dcterms:modified xsi:type="dcterms:W3CDTF">2026-08-26T18:03:14Z</dcterms:modified>
</cp:coreProperties>
</file>