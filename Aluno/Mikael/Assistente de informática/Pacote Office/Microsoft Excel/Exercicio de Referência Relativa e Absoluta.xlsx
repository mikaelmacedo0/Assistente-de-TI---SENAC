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luno\Mikael\Assistente de informática\Pacote Office\Microsoft Excel\"/>
    </mc:Choice>
  </mc:AlternateContent>
  <xr:revisionPtr revIDLastSave="0" documentId="8_{6C30BDCC-3513-480F-B346-EE39FA4AE381}" xr6:coauthVersionLast="47" xr6:coauthVersionMax="47" xr10:uidLastSave="{00000000-0000-0000-0000-000000000000}"/>
  <bookViews>
    <workbookView xWindow="-120" yWindow="-120" windowWidth="24240" windowHeight="13020" xr2:uid="{D1C4708A-A81A-4198-BDEC-A642FA61D75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E20" i="1"/>
  <c r="D21" i="1"/>
  <c r="E21" i="1"/>
  <c r="E23" i="1" s="1"/>
  <c r="F21" i="1"/>
  <c r="D22" i="1"/>
  <c r="E22" i="1"/>
  <c r="F22" i="1"/>
  <c r="F20" i="1"/>
  <c r="D20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LABORATÓRIO</author>
  </authors>
  <commentList>
    <comment ref="F3" authorId="0" shapeId="0" xr:uid="{D1D3ADEA-0E44-4383-AA47-89FF40943CD2}">
      <text>
        <r>
          <rPr>
            <b/>
            <sz val="9"/>
            <color indexed="81"/>
            <rFont val="Segoe UI"/>
            <family val="2"/>
          </rPr>
          <t xml:space="preserve">
       REFERÊNCIA RELATIVA</t>
        </r>
      </text>
    </comment>
    <comment ref="D20" authorId="0" shapeId="0" xr:uid="{748374E9-88FC-498E-8AA5-6CF68D9F3000}">
      <text>
        <r>
          <rPr>
            <b/>
            <sz val="9"/>
            <color indexed="81"/>
            <rFont val="Segoe UI"/>
            <family val="2"/>
          </rPr>
          <t xml:space="preserve">
     REFERÊNCIA ABSOLUTA</t>
        </r>
      </text>
    </comment>
  </commentList>
</comments>
</file>

<file path=xl/sharedStrings.xml><?xml version="1.0" encoding="utf-8"?>
<sst xmlns="http://schemas.openxmlformats.org/spreadsheetml/2006/main" count="46" uniqueCount="38">
  <si>
    <t>ORÇAMENTO DE MATERIAL DE CONSTRUÇÃO</t>
  </si>
  <si>
    <t>BARRO</t>
  </si>
  <si>
    <t>AREIA</t>
  </si>
  <si>
    <t>CIMENTO</t>
  </si>
  <si>
    <t>TIJOLO</t>
  </si>
  <si>
    <t>PORTA</t>
  </si>
  <si>
    <t>CANO PVC 1/2"</t>
  </si>
  <si>
    <t>LUMINÁRIA</t>
  </si>
  <si>
    <t>P LAJOTA</t>
  </si>
  <si>
    <t>CX. CONDICIONADOR DE AR</t>
  </si>
  <si>
    <t>TINTA HIDRACOR</t>
  </si>
  <si>
    <t>FERRO 1/2"</t>
  </si>
  <si>
    <t>BRITA TIPO 2</t>
  </si>
  <si>
    <t>TELHA COLONIAL</t>
  </si>
  <si>
    <t>ITENS</t>
  </si>
  <si>
    <t>DESCRIÇÃO</t>
  </si>
  <si>
    <t>UNIDADE</t>
  </si>
  <si>
    <t>QUANT</t>
  </si>
  <si>
    <t>UNITÁRIO</t>
  </si>
  <si>
    <t>PREÇO TOTAL</t>
  </si>
  <si>
    <t>M²</t>
  </si>
  <si>
    <t>SC</t>
  </si>
  <si>
    <t>UND</t>
  </si>
  <si>
    <t>M</t>
  </si>
  <si>
    <t>SC (5KG)</t>
  </si>
  <si>
    <t>KG</t>
  </si>
  <si>
    <t>SUBTOTAL</t>
  </si>
  <si>
    <t>ORÇAMENTO DA MÃO DE OBRA</t>
  </si>
  <si>
    <t>MÃO DE OBRA</t>
  </si>
  <si>
    <t>VALOR HORA</t>
  </si>
  <si>
    <t>HORAS / DIA</t>
  </si>
  <si>
    <t>HORAS SEMANA</t>
  </si>
  <si>
    <t>HORAS MENSAL</t>
  </si>
  <si>
    <t>AJUDANTE</t>
  </si>
  <si>
    <t>PEDREIRO</t>
  </si>
  <si>
    <t>PINTOR</t>
  </si>
  <si>
    <t>TOTAL</t>
  </si>
  <si>
    <t>Sair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</si>
</sst>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indexed="8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3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2" fontId="0" fillId="0" borderId="1" xfId="1" applyNumberFormat="1" applyFont="1" applyBorder="1"/>
    <xf numFmtId="0" fontId="0" fillId="0" borderId="1" xfId="0" applyFill="1" applyBorder="1"/>
    <xf numFmtId="44" fontId="0" fillId="0" borderId="1" xfId="0" applyNumberFormat="1" applyBorder="1"/>
    <xf numFmtId="44" fontId="0" fillId="0" borderId="1" xfId="2" applyFont="1" applyBorder="1"/>
    <xf numFmtId="44" fontId="2" fillId="0" borderId="1" xfId="0" applyNumberFormat="1" applyFont="1" applyBorder="1"/>
    <xf numFmtId="0" fontId="4" fillId="0" borderId="0" xfId="3"/>
  </cellXfs>
  <cellStyles count="4">
    <cellStyle name="Hiperlink" xfId="3" builtinId="8"/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accounts.google.com/Logout?hl=pt-BR&amp;continue=https://mail.google.com/mail/&amp;service=mail&amp;timeStmp=1787847928&amp;secTok=.AG5fkS_UYbRfEm-vRL64Uu2mv4OjXG0KPg&amp;ec=GAdAFw&amp;authuser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4626B-2E14-4A31-9FB4-9912628D3BB3}">
  <dimension ref="A1:M23"/>
  <sheetViews>
    <sheetView showFormulas="1" tabSelected="1" workbookViewId="0">
      <selection activeCell="F3" sqref="F3:F15"/>
    </sheetView>
  </sheetViews>
  <sheetFormatPr defaultRowHeight="15" x14ac:dyDescent="0.25"/>
  <cols>
    <col min="1" max="1" width="9.140625" customWidth="1"/>
    <col min="2" max="2" width="25.7109375" bestFit="1" customWidth="1"/>
    <col min="3" max="3" width="12.140625" bestFit="1" customWidth="1"/>
    <col min="4" max="4" width="11.5703125" bestFit="1" customWidth="1"/>
    <col min="5" max="5" width="14.85546875" bestFit="1" customWidth="1"/>
    <col min="6" max="6" width="14.5703125" bestFit="1" customWidth="1"/>
  </cols>
  <sheetData>
    <row r="1" spans="1:13" x14ac:dyDescent="0.25">
      <c r="A1" s="2" t="s">
        <v>0</v>
      </c>
      <c r="B1" s="2"/>
      <c r="C1" s="2"/>
      <c r="D1" s="2"/>
      <c r="E1" s="2"/>
      <c r="F1" s="2"/>
    </row>
    <row r="2" spans="1:13" x14ac:dyDescent="0.25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</row>
    <row r="3" spans="1:13" x14ac:dyDescent="0.25">
      <c r="A3" s="1">
        <v>1</v>
      </c>
      <c r="B3" s="1" t="s">
        <v>1</v>
      </c>
      <c r="C3" s="1" t="s">
        <v>20</v>
      </c>
      <c r="D3" s="1">
        <v>8</v>
      </c>
      <c r="E3" s="5">
        <v>55</v>
      </c>
      <c r="F3" s="7">
        <f>D3*E3</f>
        <v>440</v>
      </c>
    </row>
    <row r="4" spans="1:13" x14ac:dyDescent="0.25">
      <c r="A4" s="1">
        <v>2</v>
      </c>
      <c r="B4" s="1" t="s">
        <v>2</v>
      </c>
      <c r="C4" s="1" t="s">
        <v>20</v>
      </c>
      <c r="D4" s="1">
        <v>20</v>
      </c>
      <c r="E4" s="5">
        <v>45</v>
      </c>
      <c r="F4" s="7">
        <f>D4*E4</f>
        <v>900</v>
      </c>
    </row>
    <row r="5" spans="1:13" x14ac:dyDescent="0.25">
      <c r="A5" s="1">
        <v>3</v>
      </c>
      <c r="B5" s="1" t="s">
        <v>3</v>
      </c>
      <c r="C5" s="1" t="s">
        <v>21</v>
      </c>
      <c r="D5" s="1">
        <v>30</v>
      </c>
      <c r="E5" s="5">
        <v>30</v>
      </c>
      <c r="F5" s="7">
        <f>D5*E5</f>
        <v>900</v>
      </c>
    </row>
    <row r="6" spans="1:13" x14ac:dyDescent="0.25">
      <c r="A6" s="1">
        <v>4</v>
      </c>
      <c r="B6" s="1" t="s">
        <v>4</v>
      </c>
      <c r="C6" s="1" t="s">
        <v>22</v>
      </c>
      <c r="D6" s="1">
        <v>2000</v>
      </c>
      <c r="E6" s="5">
        <v>0.5</v>
      </c>
      <c r="F6" s="7">
        <f>D6*E6</f>
        <v>1000</v>
      </c>
    </row>
    <row r="7" spans="1:13" x14ac:dyDescent="0.25">
      <c r="A7" s="1">
        <v>5</v>
      </c>
      <c r="B7" s="1" t="s">
        <v>5</v>
      </c>
      <c r="C7" s="1" t="s">
        <v>22</v>
      </c>
      <c r="D7" s="1">
        <v>5</v>
      </c>
      <c r="E7" s="5">
        <v>200</v>
      </c>
      <c r="F7" s="7">
        <f>D7*E7</f>
        <v>1000</v>
      </c>
    </row>
    <row r="8" spans="1:13" x14ac:dyDescent="0.25">
      <c r="A8" s="1">
        <v>6</v>
      </c>
      <c r="B8" s="1" t="s">
        <v>6</v>
      </c>
      <c r="C8" s="1" t="s">
        <v>23</v>
      </c>
      <c r="D8" s="1">
        <v>50</v>
      </c>
      <c r="E8" s="5">
        <v>2</v>
      </c>
      <c r="F8" s="7">
        <f>D8*E8</f>
        <v>100</v>
      </c>
    </row>
    <row r="9" spans="1:13" x14ac:dyDescent="0.25">
      <c r="A9" s="1">
        <v>7</v>
      </c>
      <c r="B9" s="1" t="s">
        <v>7</v>
      </c>
      <c r="C9" s="1" t="s">
        <v>22</v>
      </c>
      <c r="D9" s="1">
        <v>5</v>
      </c>
      <c r="E9" s="5">
        <v>45</v>
      </c>
      <c r="F9" s="7">
        <f>D9*E9</f>
        <v>225</v>
      </c>
    </row>
    <row r="10" spans="1:13" x14ac:dyDescent="0.25">
      <c r="A10" s="1">
        <v>8</v>
      </c>
      <c r="B10" s="1" t="s">
        <v>8</v>
      </c>
      <c r="C10" s="1" t="s">
        <v>20</v>
      </c>
      <c r="D10" s="1">
        <v>10</v>
      </c>
      <c r="E10" s="5">
        <v>18</v>
      </c>
      <c r="F10" s="7">
        <f>D10*E10</f>
        <v>180</v>
      </c>
    </row>
    <row r="11" spans="1:13" x14ac:dyDescent="0.25">
      <c r="A11" s="1">
        <v>9</v>
      </c>
      <c r="B11" s="1" t="s">
        <v>9</v>
      </c>
      <c r="C11" s="1" t="s">
        <v>22</v>
      </c>
      <c r="D11" s="1">
        <v>2</v>
      </c>
      <c r="E11" s="5">
        <v>30</v>
      </c>
      <c r="F11" s="7">
        <f>D11*E11</f>
        <v>60</v>
      </c>
    </row>
    <row r="12" spans="1:13" x14ac:dyDescent="0.25">
      <c r="A12" s="1">
        <v>10</v>
      </c>
      <c r="B12" s="1" t="s">
        <v>10</v>
      </c>
      <c r="C12" s="1" t="s">
        <v>24</v>
      </c>
      <c r="D12" s="1">
        <v>5</v>
      </c>
      <c r="E12" s="5">
        <v>9</v>
      </c>
      <c r="F12" s="7">
        <f>D12*E12</f>
        <v>45</v>
      </c>
    </row>
    <row r="13" spans="1:13" x14ac:dyDescent="0.25">
      <c r="A13" s="1">
        <v>11</v>
      </c>
      <c r="B13" s="1" t="s">
        <v>11</v>
      </c>
      <c r="C13" s="1" t="s">
        <v>25</v>
      </c>
      <c r="D13" s="1">
        <v>10</v>
      </c>
      <c r="E13" s="5">
        <v>30</v>
      </c>
      <c r="F13" s="7">
        <f>D13*E13</f>
        <v>300</v>
      </c>
    </row>
    <row r="14" spans="1:13" x14ac:dyDescent="0.25">
      <c r="A14" s="1">
        <v>12</v>
      </c>
      <c r="B14" s="1" t="s">
        <v>12</v>
      </c>
      <c r="C14" s="1" t="s">
        <v>20</v>
      </c>
      <c r="D14" s="1">
        <v>10</v>
      </c>
      <c r="E14" s="5">
        <v>50</v>
      </c>
      <c r="F14" s="7">
        <f>D14*E14</f>
        <v>500</v>
      </c>
      <c r="M14" s="10" t="s">
        <v>37</v>
      </c>
    </row>
    <row r="15" spans="1:13" x14ac:dyDescent="0.25">
      <c r="A15" s="1">
        <v>13</v>
      </c>
      <c r="B15" s="1" t="s">
        <v>13</v>
      </c>
      <c r="C15" s="1" t="s">
        <v>22</v>
      </c>
      <c r="D15" s="1">
        <v>5000</v>
      </c>
      <c r="E15" s="5">
        <v>0.5</v>
      </c>
      <c r="F15" s="7">
        <f>D15*E15</f>
        <v>2500</v>
      </c>
    </row>
    <row r="16" spans="1:13" x14ac:dyDescent="0.25">
      <c r="A16" s="1"/>
      <c r="B16" s="1"/>
      <c r="C16" s="1"/>
      <c r="D16" s="1"/>
      <c r="E16" s="4" t="s">
        <v>26</v>
      </c>
      <c r="F16" s="9">
        <f>SUM(F3:F15)</f>
        <v>8150</v>
      </c>
    </row>
    <row r="17" spans="1:6" x14ac:dyDescent="0.25">
      <c r="A17" s="2" t="s">
        <v>27</v>
      </c>
      <c r="B17" s="2"/>
      <c r="C17" s="2"/>
      <c r="D17" s="2"/>
      <c r="E17" s="2"/>
      <c r="F17" s="2"/>
    </row>
    <row r="18" spans="1:6" x14ac:dyDescent="0.25">
      <c r="A18" s="1"/>
      <c r="B18" s="6" t="s">
        <v>28</v>
      </c>
      <c r="C18" s="6" t="s">
        <v>29</v>
      </c>
      <c r="D18" s="1" t="s">
        <v>30</v>
      </c>
      <c r="E18" s="1" t="s">
        <v>31</v>
      </c>
      <c r="F18" s="1" t="s">
        <v>32</v>
      </c>
    </row>
    <row r="19" spans="1:6" x14ac:dyDescent="0.25">
      <c r="A19" s="1"/>
      <c r="B19" s="1"/>
      <c r="C19" s="1"/>
      <c r="D19" s="3">
        <v>8</v>
      </c>
      <c r="E19" s="3">
        <v>44</v>
      </c>
      <c r="F19" s="3">
        <v>176</v>
      </c>
    </row>
    <row r="20" spans="1:6" x14ac:dyDescent="0.25">
      <c r="A20" s="1"/>
      <c r="B20" s="1" t="s">
        <v>33</v>
      </c>
      <c r="C20" s="7">
        <v>5.5</v>
      </c>
      <c r="D20" s="7">
        <f>$C20*D$19</f>
        <v>44</v>
      </c>
      <c r="E20" s="7">
        <f>$C20*E$19</f>
        <v>242</v>
      </c>
      <c r="F20" s="7">
        <f t="shared" ref="E20:F22" si="0">$C20*F$19</f>
        <v>968</v>
      </c>
    </row>
    <row r="21" spans="1:6" x14ac:dyDescent="0.25">
      <c r="A21" s="1"/>
      <c r="B21" s="1" t="s">
        <v>34</v>
      </c>
      <c r="C21" s="8">
        <v>16</v>
      </c>
      <c r="D21" s="7">
        <f t="shared" ref="D21:D22" si="1">$C21*D$19</f>
        <v>128</v>
      </c>
      <c r="E21" s="7">
        <f t="shared" si="0"/>
        <v>704</v>
      </c>
      <c r="F21" s="7">
        <f t="shared" si="0"/>
        <v>2816</v>
      </c>
    </row>
    <row r="22" spans="1:6" x14ac:dyDescent="0.25">
      <c r="A22" s="1"/>
      <c r="B22" s="1" t="s">
        <v>35</v>
      </c>
      <c r="C22" s="8">
        <v>14</v>
      </c>
      <c r="D22" s="7">
        <f t="shared" si="1"/>
        <v>112</v>
      </c>
      <c r="E22" s="7">
        <f t="shared" si="0"/>
        <v>616</v>
      </c>
      <c r="F22" s="7">
        <f t="shared" si="0"/>
        <v>2464</v>
      </c>
    </row>
    <row r="23" spans="1:6" x14ac:dyDescent="0.25">
      <c r="A23" s="1"/>
      <c r="B23" s="1"/>
      <c r="C23" s="4" t="s">
        <v>36</v>
      </c>
      <c r="D23" s="9">
        <f>SUM(D20:D22)</f>
        <v>284</v>
      </c>
      <c r="E23" s="9">
        <f>SUM(E20:E22)</f>
        <v>1562</v>
      </c>
      <c r="F23" s="9">
        <f>SUM(F20:F22)</f>
        <v>6248</v>
      </c>
    </row>
  </sheetData>
  <mergeCells count="2">
    <mergeCell ref="A1:F1"/>
    <mergeCell ref="A17:F17"/>
  </mergeCells>
  <hyperlinks>
    <hyperlink ref="M14" r:id="rId1" display="https://accounts.google.com/Logout?hl=pt-BR&amp;continue=https://mail.google.com/mail/&amp;service=mail&amp;timeStmp=1787847928&amp;secTok=.AG5fkS_UYbRfEm-vRL64Uu2mv4OjXG0KPg&amp;ec=GAdAFw&amp;authuser=0" xr:uid="{309A8900-2135-480E-AA2E-36B066CD5AA0}"/>
  </hyperlinks>
  <pageMargins left="0.511811024" right="0.511811024" top="0.78740157499999996" bottom="0.78740157499999996" header="0.31496062000000002" footer="0.31496062000000002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LABORATÓRIO</dc:creator>
  <cp:lastModifiedBy>LABORATÓRIO</cp:lastModifiedBy>
  <dcterms:created xsi:type="dcterms:W3CDTF">2026-08-27T18:34:37Z</dcterms:created>
  <dcterms:modified xsi:type="dcterms:W3CDTF">2026-08-27T19:36:28Z</dcterms:modified>
</cp:coreProperties>
</file>