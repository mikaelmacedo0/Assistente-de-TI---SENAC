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13_ncr:1_{4A703370-E69F-48D1-93E1-729EAA47DD46}" xr6:coauthVersionLast="47" xr6:coauthVersionMax="47" xr10:uidLastSave="{00000000-0000-0000-0000-000000000000}"/>
  <bookViews>
    <workbookView xWindow="-120" yWindow="-120" windowWidth="24240" windowHeight="13020" xr2:uid="{EAC10832-D925-4F9D-8747-DFBFCCB60CCE}"/>
  </bookViews>
  <sheets>
    <sheet name="Planilha1" sheetId="1" r:id="rId1"/>
  </sheets>
  <definedNames>
    <definedName name="SegmentaçãodeDados_CATEGORIA">#N/A</definedName>
    <definedName name="SegmentaçãodeDados_DATA_CADASTR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H17" i="1"/>
  <c r="G16" i="1"/>
  <c r="H16" i="1"/>
  <c r="G15" i="1"/>
  <c r="H15" i="1"/>
  <c r="G14" i="1"/>
  <c r="H14" i="1"/>
  <c r="G13" i="1"/>
  <c r="H13" i="1"/>
  <c r="G12" i="1"/>
  <c r="H12" i="1"/>
  <c r="H11" i="1"/>
  <c r="I11" i="1" s="1"/>
  <c r="J11" i="1" s="1"/>
  <c r="G10" i="1"/>
  <c r="H10" i="1"/>
  <c r="G9" i="1"/>
  <c r="H9" i="1"/>
  <c r="G8" i="1"/>
  <c r="H8" i="1"/>
  <c r="G7" i="1"/>
  <c r="H7" i="1"/>
  <c r="G6" i="1"/>
  <c r="H6" i="1"/>
  <c r="G5" i="1"/>
  <c r="H5" i="1"/>
  <c r="G4" i="1"/>
  <c r="H4" i="1"/>
  <c r="G3" i="1"/>
  <c r="H3" i="1"/>
  <c r="G2" i="1"/>
  <c r="H2" i="1"/>
  <c r="I16" i="1" l="1"/>
  <c r="J16" i="1" s="1"/>
  <c r="K16" i="1" s="1"/>
  <c r="I17" i="1"/>
  <c r="J17" i="1" s="1"/>
  <c r="L17" i="1" s="1"/>
  <c r="I15" i="1"/>
  <c r="J15" i="1" s="1"/>
  <c r="L15" i="1" s="1"/>
  <c r="I14" i="1"/>
  <c r="J14" i="1" s="1"/>
  <c r="L14" i="1" s="1"/>
  <c r="I13" i="1"/>
  <c r="J13" i="1" s="1"/>
  <c r="L13" i="1" s="1"/>
  <c r="I12" i="1"/>
  <c r="J12" i="1" s="1"/>
  <c r="L12" i="1" s="1"/>
  <c r="K11" i="1"/>
  <c r="L11" i="1"/>
  <c r="I10" i="1"/>
  <c r="J10" i="1" s="1"/>
  <c r="L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L6" i="1" s="1"/>
  <c r="I5" i="1"/>
  <c r="J5" i="1" s="1"/>
  <c r="K5" i="1" s="1"/>
  <c r="I2" i="1"/>
  <c r="I4" i="1"/>
  <c r="J4" i="1" s="1"/>
  <c r="K4" i="1" s="1"/>
  <c r="I3" i="1"/>
  <c r="J3" i="1" s="1"/>
  <c r="L3" i="1" s="1"/>
  <c r="K14" i="1" l="1"/>
  <c r="K15" i="1"/>
  <c r="L16" i="1"/>
  <c r="K17" i="1"/>
  <c r="K12" i="1"/>
  <c r="K13" i="1"/>
  <c r="L7" i="1"/>
  <c r="L8" i="1"/>
  <c r="K10" i="1"/>
  <c r="K6" i="1"/>
  <c r="L4" i="1"/>
  <c r="L9" i="1"/>
  <c r="L5" i="1"/>
  <c r="J2" i="1"/>
  <c r="J18" i="1" s="1"/>
  <c r="I18" i="1"/>
  <c r="K3" i="1"/>
  <c r="K2" i="1" l="1"/>
  <c r="K18" i="1" s="1"/>
  <c r="L2" i="1"/>
  <c r="L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tc={82A0F5DA-745A-49C9-984B-3FCF4F4EE0CF}</author>
  </authors>
  <commentList>
    <comment ref="A1" authorId="0" shapeId="0" xr:uid="{82A0F5DA-745A-49C9-984B-3FCF4F4EE0C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inserir o recurso de tabela: 
1. Clique na célula A1 (comentário)
2.Ctrl+shift+seta para direita e seta para baixo
3. Clique em tabelas/tabela/ok
</t>
      </text>
    </comment>
  </commentList>
</comments>
</file>

<file path=xl/sharedStrings.xml><?xml version="1.0" encoding="utf-8"?>
<sst xmlns="http://schemas.openxmlformats.org/spreadsheetml/2006/main" count="62" uniqueCount="46">
  <si>
    <t>NOME DO PRODUTIO</t>
  </si>
  <si>
    <t>QUANTIDADE</t>
  </si>
  <si>
    <t>PREÇO UNITÁRTIO</t>
  </si>
  <si>
    <t>VALOR FRETE</t>
  </si>
  <si>
    <t>ARROZ</t>
  </si>
  <si>
    <t>KG</t>
  </si>
  <si>
    <t>CUSTO PARCIAL</t>
  </si>
  <si>
    <t>CUSTO TOTAL</t>
  </si>
  <si>
    <t>DATA CADASTRO</t>
  </si>
  <si>
    <t>UNIDADE</t>
  </si>
  <si>
    <t xml:space="preserve"> </t>
  </si>
  <si>
    <t>PREÇO UNIT. VENDA</t>
  </si>
  <si>
    <t>PREÇO DE VENDA</t>
  </si>
  <si>
    <t>VALOR LUCRO</t>
  </si>
  <si>
    <t>FEIJÃO</t>
  </si>
  <si>
    <t>Total</t>
  </si>
  <si>
    <t>BISCOITO FOTALEZA</t>
  </si>
  <si>
    <t>PCT</t>
  </si>
  <si>
    <t>FARINHA</t>
  </si>
  <si>
    <t>QUEIJO</t>
  </si>
  <si>
    <t>MANTEIGA MARANGUAPE</t>
  </si>
  <si>
    <t>CX</t>
  </si>
  <si>
    <t>COCA COLA</t>
  </si>
  <si>
    <t>L</t>
  </si>
  <si>
    <t>06/062026</t>
  </si>
  <si>
    <t>SÃO GERARDO</t>
  </si>
  <si>
    <t>CATEGORIA</t>
  </si>
  <si>
    <t>ALIMENTAÇÃO</t>
  </si>
  <si>
    <t>BEBIDAS</t>
  </si>
  <si>
    <t>MORTADELA</t>
  </si>
  <si>
    <t>FRIOS E CONGELADOS</t>
  </si>
  <si>
    <t>LIMPEZA</t>
  </si>
  <si>
    <t>SABÃO</t>
  </si>
  <si>
    <t>BR</t>
  </si>
  <si>
    <t>DETERGENTE</t>
  </si>
  <si>
    <t>TB</t>
  </si>
  <si>
    <t>MODA E BELEZA</t>
  </si>
  <si>
    <t>PASTA DE DENTE</t>
  </si>
  <si>
    <t xml:space="preserve"> MODA E BELEZA</t>
  </si>
  <si>
    <t>ESCOVA DE DENTES</t>
  </si>
  <si>
    <t>CERVEJA BRAHMA</t>
  </si>
  <si>
    <t>LATA</t>
  </si>
  <si>
    <t>CACHAÇA YPIOCA</t>
  </si>
  <si>
    <t>LÂMPADA</t>
  </si>
  <si>
    <t>UND</t>
  </si>
  <si>
    <t>MANUTEMÇÃO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</si>
</sst>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3" fontId="0" fillId="0" borderId="0" xfId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3" fontId="0" fillId="0" borderId="0" xfId="1" applyFont="1" applyAlignment="1">
      <alignment horizontal="center" wrapText="1"/>
    </xf>
    <xf numFmtId="43" fontId="0" fillId="0" borderId="0" xfId="0" applyNumberFormat="1" applyAlignment="1">
      <alignment horizontal="center" wrapText="1"/>
    </xf>
    <xf numFmtId="43" fontId="0" fillId="0" borderId="0" xfId="0" applyNumberFormat="1" applyAlignment="1">
      <alignment wrapText="1"/>
    </xf>
    <xf numFmtId="43" fontId="0" fillId="0" borderId="0" xfId="1" applyFont="1" applyAlignment="1">
      <alignment vertical="center" wrapText="1"/>
    </xf>
    <xf numFmtId="43" fontId="0" fillId="0" borderId="0" xfId="1" applyFont="1" applyAlignment="1">
      <alignment wrapText="1"/>
    </xf>
    <xf numFmtId="0" fontId="2" fillId="0" borderId="0" xfId="0" applyFont="1" applyAlignment="1">
      <alignment horizontal="center" vertical="center" textRotation="90"/>
    </xf>
  </cellXfs>
  <cellStyles count="2">
    <cellStyle name="Normal" xfId="0" builtinId="0"/>
    <cellStyle name="Vírgula" xfId="1" builtinId="3"/>
  </cellStyles>
  <dxfs count="26">
    <dxf>
      <numFmt numFmtId="35" formatCode="_-* #,##0.00_-;\-* #,##0.00_-;_-* &quot;-&quot;??_-;_-@_-"/>
      <alignment horizontal="general" vertical="bottom" textRotation="0" wrapText="1" indent="0" justifyLastLine="0" shrinkToFit="0" readingOrder="0"/>
    </dxf>
    <dxf>
      <numFmt numFmtId="35" formatCode="_-* #,##0.00_-;\-* #,##0.00_-;_-* &quot;-&quot;??_-;_-@_-"/>
      <alignment horizontal="center" vertical="bottom" textRotation="0" wrapText="1" indent="0" justifyLastLine="0" shrinkToFit="0" readingOrder="0"/>
    </dxf>
    <dxf>
      <numFmt numFmtId="35" formatCode="_-* #,##0.00_-;\-* #,##0.00_-;_-* &quot;-&quot;??_-;_-@_-"/>
      <alignment horizontal="center" vertical="bottom" textRotation="0" wrapText="1" indent="0" justifyLastLine="0" shrinkToFit="0" readingOrder="0"/>
    </dxf>
    <dxf>
      <numFmt numFmtId="35" formatCode="_-* #,##0.00_-;\-* #,##0.00_-;_-* &quot;-&quot;??_-;_-@_-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2.xml"/><Relationship Id="rId7" Type="http://schemas.microsoft.com/office/2017/10/relationships/person" Target="persons/perso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257175</xdr:colOff>
      <xdr:row>10</xdr:row>
      <xdr:rowOff>38100</xdr:rowOff>
    </xdr:from>
    <xdr:to>
      <xdr:col>14</xdr:col>
      <xdr:colOff>38100</xdr:colOff>
      <xdr:row>16</xdr:row>
      <xdr:rowOff>104775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ATEGORIA">
              <a:extLst>
                <a:ext uri="{FF2B5EF4-FFF2-40B4-BE49-F238E27FC236}">
                  <a16:creationId xmlns:a16="http://schemas.microsoft.com/office/drawing/2014/main" id="{B7204ED7-9A14-51D6-0AC2-9BD4B78B09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06075" y="2647950"/>
              <a:ext cx="18288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257175</xdr:colOff>
      <xdr:row>0</xdr:row>
      <xdr:rowOff>0</xdr:rowOff>
    </xdr:from>
    <xdr:to>
      <xdr:col>14</xdr:col>
      <xdr:colOff>38100</xdr:colOff>
      <xdr:row>10</xdr:row>
      <xdr:rowOff>57150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DATA CADASTRO">
              <a:extLst>
                <a:ext uri="{FF2B5EF4-FFF2-40B4-BE49-F238E27FC236}">
                  <a16:creationId xmlns:a16="http://schemas.microsoft.com/office/drawing/2014/main" id="{7D8D0EB1-FFB5-34E4-DE45-1E4A3AF050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CADAST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06075" y="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BORATÓRIO" id="{E2547372-57DA-4DE1-900A-2888EDC8F49C}" userId="LABORATÓRIO" providerId="None"/>
</personLis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579154F6-54D7-4177-AE9D-9D6C5F26A6EC}" sourceName="CATEGORIA">
  <extLst>
    <x:ext xmlns:x15="http://schemas.microsoft.com/office/spreadsheetml/2010/11/main" uri="{2F2917AC-EB37-4324-AD4E-5DD8C200BD13}">
      <x15:tableSlicerCache tableId="1" column="1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CADASTRO" xr10:uid="{A7615D91-D9E0-4804-B1B3-FCBB923EBED0}" sourceName="DATA CADASTRO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5A204AB7-5737-4EE3-8609-D2216C6258FD}" cache="SegmentaçãodeDados_CATEGORIA" caption="CATEGORIA" rowHeight="257175"/>
  <slicer name="DATA CADASTRO" xr10:uid="{2AD72302-283F-4B72-A27B-1E4E0F90F241}" cache="SegmentaçãodeDados_DATA_CADASTRO" caption="DATA CADASTRO" startItem="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79FCA-0CA8-4D89-8B7E-BFE4CA08CD59}" name="Tabela1" displayName="Tabela1" ref="A1:L18" totalsRowCount="1" headerRowDxfId="25" dataDxfId="24">
  <autoFilter ref="A1:L17" xr:uid="{44079FCA-0CA8-4D89-8B7E-BFE4CA08CD59}"/>
  <tableColumns count="12">
    <tableColumn id="1" xr3:uid="{CDE513C7-A494-4355-B03C-6F486403D220}" name="DATA CADASTRO" totalsRowLabel="Total" dataDxfId="23" totalsRowDxfId="11"/>
    <tableColumn id="12" xr3:uid="{8147F3BC-CF5D-4699-9DF7-2FA22D74ACD2}" name="CATEGORIA" dataDxfId="22" totalsRowDxfId="10"/>
    <tableColumn id="2" xr3:uid="{EAF512CB-6B56-4EBC-B731-6CB371F1FD51}" name="NOME DO PRODUTIO" dataDxfId="21" totalsRowDxfId="9"/>
    <tableColumn id="3" xr3:uid="{BD859056-108D-4D63-B6A7-144DBABBD920}" name="QUANTIDADE" dataDxfId="20" totalsRowDxfId="8"/>
    <tableColumn id="4" xr3:uid="{F742F481-0CA7-4A59-8143-18B2D9D9EA2B}" name="UNIDADE" dataDxfId="19" totalsRowDxfId="7"/>
    <tableColumn id="5" xr3:uid="{3EF7BE4E-E10A-46B8-AAAD-DF6E7A114D0A}" name="PREÇO UNITÁRTIO" dataDxfId="18" totalsRowDxfId="6" dataCellStyle="Vírgula"/>
    <tableColumn id="6" xr3:uid="{051DAE98-28C5-41E8-8E37-A7E23F482600}" name="CUSTO PARCIAL" dataDxfId="17" totalsRowDxfId="5" dataCellStyle="Vírgula">
      <calculatedColumnFormula>D2*F2</calculatedColumnFormula>
    </tableColumn>
    <tableColumn id="7" xr3:uid="{022187F2-320D-470E-BEA5-0EF610D11EA7}" name="VALOR FRETE" dataDxfId="16" totalsRowDxfId="4" dataCellStyle="Vírgula">
      <calculatedColumnFormula>D2*2%</calculatedColumnFormula>
    </tableColumn>
    <tableColumn id="8" xr3:uid="{E4A905AB-4FC8-4F12-9AAA-FE6ABA27333A}" name="CUSTO TOTAL" totalsRowFunction="sum" dataDxfId="15" totalsRowDxfId="3" dataCellStyle="Vírgula">
      <calculatedColumnFormula>G2+H2</calculatedColumnFormula>
    </tableColumn>
    <tableColumn id="9" xr3:uid="{845C66C0-372E-46B1-B84B-178762D78E83}" name="PREÇO DE VENDA" totalsRowFunction="sum" dataDxfId="14" totalsRowDxfId="2" dataCellStyle="Vírgula">
      <calculatedColumnFormula>I2+I2*15%</calculatedColumnFormula>
    </tableColumn>
    <tableColumn id="10" xr3:uid="{F2BEDB93-D27E-4E9C-9F47-BA40ECD00D08}" name="PREÇO UNIT. VENDA" totalsRowFunction="sum" dataDxfId="13" totalsRowDxfId="1" dataCellStyle="Vírgula">
      <calculatedColumnFormula>J2/D2</calculatedColumnFormula>
    </tableColumn>
    <tableColumn id="11" xr3:uid="{3A851C0A-F34A-4691-810C-2AFBD90799FC}" name="VALOR LUCRO" totalsRowFunction="sum" dataDxfId="12" totalsRowDxfId="0" dataCellStyle="Vírgula">
      <calculatedColumnFormula>J2-I2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20T19:19:15.72" personId="{E2547372-57DA-4DE1-900A-2888EDC8F49C}" id="{82A0F5DA-745A-49C9-984B-3FCF4F4EE0CF}">
    <text xml:space="preserve">Para inserir o recurso de tabela: 
1. Clique na célula A1 (comentário)
2.Ctrl+shift+seta para direita e seta para baixo
3. Clique em tabelas/tabela/ok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FD38-A8CF-4341-9FCB-1AAFBCFB214A}">
  <dimension ref="A1:L27"/>
  <sheetViews>
    <sheetView tabSelected="1" zoomScaleNormal="100" workbookViewId="0">
      <selection activeCell="C12" sqref="C12"/>
    </sheetView>
  </sheetViews>
  <sheetFormatPr defaultRowHeight="15" x14ac:dyDescent="0.25"/>
  <cols>
    <col min="1" max="1" width="20.85546875" bestFit="1" customWidth="1"/>
    <col min="2" max="2" width="21.85546875" customWidth="1"/>
    <col min="3" max="3" width="18.5703125" bestFit="1" customWidth="1"/>
    <col min="4" max="4" width="6.140625" customWidth="1"/>
    <col min="5" max="5" width="4.140625" customWidth="1"/>
    <col min="6" max="6" width="15.28515625" bestFit="1" customWidth="1"/>
    <col min="7" max="7" width="12.5703125" style="1" customWidth="1"/>
    <col min="8" max="8" width="12.42578125" customWidth="1"/>
    <col min="9" max="9" width="11.7109375" customWidth="1"/>
    <col min="10" max="10" width="13.140625" customWidth="1"/>
    <col min="11" max="11" width="17" customWidth="1"/>
    <col min="12" max="12" width="12.42578125" customWidth="1"/>
  </cols>
  <sheetData>
    <row r="1" spans="1:12" ht="72" customHeight="1" x14ac:dyDescent="0.25">
      <c r="A1" s="2" t="s">
        <v>8</v>
      </c>
      <c r="B1" s="2" t="s">
        <v>26</v>
      </c>
      <c r="C1" s="16" t="s">
        <v>0</v>
      </c>
      <c r="D1" s="16" t="s">
        <v>1</v>
      </c>
      <c r="E1" s="16" t="s">
        <v>9</v>
      </c>
      <c r="F1" s="3" t="s">
        <v>2</v>
      </c>
      <c r="G1" s="3" t="s">
        <v>6</v>
      </c>
      <c r="H1" s="4" t="s">
        <v>3</v>
      </c>
      <c r="I1" s="3" t="s">
        <v>7</v>
      </c>
      <c r="J1" s="3" t="s">
        <v>12</v>
      </c>
      <c r="K1" s="3" t="s">
        <v>11</v>
      </c>
      <c r="L1" s="3" t="s">
        <v>13</v>
      </c>
    </row>
    <row r="2" spans="1:12" x14ac:dyDescent="0.25">
      <c r="A2" s="6">
        <v>46254</v>
      </c>
      <c r="B2" s="6" t="s">
        <v>27</v>
      </c>
      <c r="C2" s="7" t="s">
        <v>4</v>
      </c>
      <c r="D2" s="7">
        <v>60</v>
      </c>
      <c r="E2" s="7" t="s">
        <v>5</v>
      </c>
      <c r="F2" s="8">
        <v>4.25</v>
      </c>
      <c r="G2" s="8">
        <f t="shared" ref="G2:G10" si="0">D2*F2</f>
        <v>255</v>
      </c>
      <c r="H2" s="8">
        <f t="shared" ref="H2:H10" si="1">D2*2%</f>
        <v>1.2</v>
      </c>
      <c r="I2" s="8">
        <f t="shared" ref="I2:I10" si="2">G2+H2</f>
        <v>256.2</v>
      </c>
      <c r="J2" s="8">
        <f t="shared" ref="J2:J10" si="3">I2+I2*15%</f>
        <v>294.63</v>
      </c>
      <c r="K2" s="8">
        <f t="shared" ref="K2:K10" si="4">J2/D2</f>
        <v>4.9104999999999999</v>
      </c>
      <c r="L2" s="14">
        <f t="shared" ref="L2:L10" si="5">J2-I2</f>
        <v>38.430000000000007</v>
      </c>
    </row>
    <row r="3" spans="1:12" x14ac:dyDescent="0.25">
      <c r="A3" s="9">
        <v>46175</v>
      </c>
      <c r="B3" s="6" t="s">
        <v>27</v>
      </c>
      <c r="C3" s="10" t="s">
        <v>14</v>
      </c>
      <c r="D3" s="10">
        <v>52</v>
      </c>
      <c r="E3" s="10" t="s">
        <v>5</v>
      </c>
      <c r="F3" s="11">
        <v>6.24</v>
      </c>
      <c r="G3" s="11">
        <f t="shared" si="0"/>
        <v>324.48</v>
      </c>
      <c r="H3" s="11">
        <f t="shared" si="1"/>
        <v>1.04</v>
      </c>
      <c r="I3" s="11">
        <f t="shared" si="2"/>
        <v>325.52000000000004</v>
      </c>
      <c r="J3" s="11">
        <f t="shared" si="3"/>
        <v>374.34800000000007</v>
      </c>
      <c r="K3" s="11">
        <f t="shared" si="4"/>
        <v>7.1990000000000016</v>
      </c>
      <c r="L3" s="15">
        <f t="shared" si="5"/>
        <v>48.828000000000031</v>
      </c>
    </row>
    <row r="4" spans="1:12" x14ac:dyDescent="0.25">
      <c r="A4" s="9">
        <v>46176</v>
      </c>
      <c r="B4" s="6" t="s">
        <v>27</v>
      </c>
      <c r="C4" s="10" t="s">
        <v>16</v>
      </c>
      <c r="D4" s="10">
        <v>25</v>
      </c>
      <c r="E4" s="10" t="s">
        <v>17</v>
      </c>
      <c r="F4" s="11">
        <v>7.5</v>
      </c>
      <c r="G4" s="11">
        <f t="shared" si="0"/>
        <v>187.5</v>
      </c>
      <c r="H4" s="11">
        <f t="shared" si="1"/>
        <v>0.5</v>
      </c>
      <c r="I4" s="11">
        <f t="shared" si="2"/>
        <v>188</v>
      </c>
      <c r="J4" s="11">
        <f t="shared" si="3"/>
        <v>216.2</v>
      </c>
      <c r="K4" s="11">
        <f t="shared" si="4"/>
        <v>8.6479999999999997</v>
      </c>
      <c r="L4" s="15">
        <f t="shared" si="5"/>
        <v>28.199999999999989</v>
      </c>
    </row>
    <row r="5" spans="1:12" x14ac:dyDescent="0.25">
      <c r="A5" s="9">
        <v>46177</v>
      </c>
      <c r="B5" s="6" t="s">
        <v>27</v>
      </c>
      <c r="C5" s="10" t="s">
        <v>18</v>
      </c>
      <c r="D5" s="10">
        <v>15</v>
      </c>
      <c r="E5" s="10" t="s">
        <v>5</v>
      </c>
      <c r="F5" s="11">
        <v>3.2</v>
      </c>
      <c r="G5" s="11">
        <f t="shared" si="0"/>
        <v>48</v>
      </c>
      <c r="H5" s="11">
        <f t="shared" si="1"/>
        <v>0.3</v>
      </c>
      <c r="I5" s="11">
        <f t="shared" si="2"/>
        <v>48.3</v>
      </c>
      <c r="J5" s="11">
        <f t="shared" si="3"/>
        <v>55.544999999999995</v>
      </c>
      <c r="K5" s="11">
        <f t="shared" si="4"/>
        <v>3.7029999999999998</v>
      </c>
      <c r="L5" s="15">
        <f t="shared" si="5"/>
        <v>7.2449999999999974</v>
      </c>
    </row>
    <row r="6" spans="1:12" x14ac:dyDescent="0.25">
      <c r="A6" s="9">
        <v>46178</v>
      </c>
      <c r="B6" s="6" t="s">
        <v>30</v>
      </c>
      <c r="C6" s="10" t="s">
        <v>19</v>
      </c>
      <c r="D6" s="10">
        <v>5</v>
      </c>
      <c r="E6" s="10" t="s">
        <v>5</v>
      </c>
      <c r="F6" s="11">
        <v>28</v>
      </c>
      <c r="G6" s="11">
        <f t="shared" si="0"/>
        <v>140</v>
      </c>
      <c r="H6" s="11">
        <f t="shared" si="1"/>
        <v>0.1</v>
      </c>
      <c r="I6" s="11">
        <f t="shared" si="2"/>
        <v>140.1</v>
      </c>
      <c r="J6" s="11">
        <f t="shared" si="3"/>
        <v>161.11499999999998</v>
      </c>
      <c r="K6" s="11">
        <f t="shared" si="4"/>
        <v>32.222999999999999</v>
      </c>
      <c r="L6" s="15">
        <f t="shared" si="5"/>
        <v>21.014999999999986</v>
      </c>
    </row>
    <row r="7" spans="1:12" ht="12" customHeight="1" x14ac:dyDescent="0.25">
      <c r="A7" s="9">
        <v>46179</v>
      </c>
      <c r="B7" s="6" t="s">
        <v>27</v>
      </c>
      <c r="C7" s="10" t="s">
        <v>20</v>
      </c>
      <c r="D7" s="10">
        <v>5</v>
      </c>
      <c r="E7" s="10" t="s">
        <v>21</v>
      </c>
      <c r="F7" s="11">
        <v>25</v>
      </c>
      <c r="G7" s="11">
        <f t="shared" si="0"/>
        <v>125</v>
      </c>
      <c r="H7" s="11">
        <f t="shared" si="1"/>
        <v>0.1</v>
      </c>
      <c r="I7" s="11">
        <f t="shared" si="2"/>
        <v>125.1</v>
      </c>
      <c r="J7" s="11">
        <f t="shared" si="3"/>
        <v>143.86499999999998</v>
      </c>
      <c r="K7" s="11">
        <f t="shared" si="4"/>
        <v>28.772999999999996</v>
      </c>
      <c r="L7" s="15">
        <f t="shared" si="5"/>
        <v>18.764999999999986</v>
      </c>
    </row>
    <row r="8" spans="1:12" x14ac:dyDescent="0.25">
      <c r="A8" s="9">
        <v>46179</v>
      </c>
      <c r="B8" s="9" t="s">
        <v>28</v>
      </c>
      <c r="C8" s="10" t="s">
        <v>22</v>
      </c>
      <c r="D8" s="10">
        <v>8</v>
      </c>
      <c r="E8" s="10" t="s">
        <v>23</v>
      </c>
      <c r="F8" s="11">
        <v>12</v>
      </c>
      <c r="G8" s="11">
        <f t="shared" si="0"/>
        <v>96</v>
      </c>
      <c r="H8" s="11">
        <f t="shared" si="1"/>
        <v>0.16</v>
      </c>
      <c r="I8" s="11">
        <f t="shared" si="2"/>
        <v>96.16</v>
      </c>
      <c r="J8" s="11">
        <f t="shared" si="3"/>
        <v>110.584</v>
      </c>
      <c r="K8" s="11">
        <f t="shared" si="4"/>
        <v>13.823</v>
      </c>
      <c r="L8" s="15">
        <f t="shared" si="5"/>
        <v>14.424000000000007</v>
      </c>
    </row>
    <row r="9" spans="1:12" x14ac:dyDescent="0.25">
      <c r="A9" s="9" t="s">
        <v>24</v>
      </c>
      <c r="B9" s="9" t="s">
        <v>28</v>
      </c>
      <c r="C9" s="10" t="s">
        <v>25</v>
      </c>
      <c r="D9" s="10">
        <v>12</v>
      </c>
      <c r="E9" s="10" t="s">
        <v>23</v>
      </c>
      <c r="F9" s="11">
        <v>11</v>
      </c>
      <c r="G9" s="11">
        <f t="shared" si="0"/>
        <v>132</v>
      </c>
      <c r="H9" s="11">
        <f t="shared" si="1"/>
        <v>0.24</v>
      </c>
      <c r="I9" s="11">
        <f t="shared" si="2"/>
        <v>132.24</v>
      </c>
      <c r="J9" s="11">
        <f t="shared" si="3"/>
        <v>152.07600000000002</v>
      </c>
      <c r="K9" s="11">
        <f t="shared" si="4"/>
        <v>12.673000000000002</v>
      </c>
      <c r="L9" s="15">
        <f t="shared" si="5"/>
        <v>19.836000000000013</v>
      </c>
    </row>
    <row r="10" spans="1:12" ht="16.5" customHeight="1" x14ac:dyDescent="0.25">
      <c r="A10" s="9">
        <v>46180</v>
      </c>
      <c r="B10" s="9" t="s">
        <v>30</v>
      </c>
      <c r="C10" s="10" t="s">
        <v>29</v>
      </c>
      <c r="D10" s="10">
        <v>5</v>
      </c>
      <c r="E10" s="10" t="s">
        <v>5</v>
      </c>
      <c r="F10" s="11">
        <v>20</v>
      </c>
      <c r="G10" s="11">
        <f t="shared" si="0"/>
        <v>100</v>
      </c>
      <c r="H10" s="11">
        <f t="shared" si="1"/>
        <v>0.1</v>
      </c>
      <c r="I10" s="11">
        <f t="shared" si="2"/>
        <v>100.1</v>
      </c>
      <c r="J10" s="11">
        <f t="shared" si="3"/>
        <v>115.11499999999999</v>
      </c>
      <c r="K10" s="11">
        <f t="shared" si="4"/>
        <v>23.023</v>
      </c>
      <c r="L10" s="15">
        <f t="shared" si="5"/>
        <v>15.015000000000001</v>
      </c>
    </row>
    <row r="11" spans="1:12" x14ac:dyDescent="0.25">
      <c r="A11" s="9">
        <v>46181</v>
      </c>
      <c r="B11" s="9" t="s">
        <v>31</v>
      </c>
      <c r="C11" s="10" t="s">
        <v>32</v>
      </c>
      <c r="D11" s="10">
        <v>5</v>
      </c>
      <c r="E11" s="10" t="s">
        <v>33</v>
      </c>
      <c r="F11" s="11">
        <v>5</v>
      </c>
      <c r="G11" s="11">
        <v>25</v>
      </c>
      <c r="H11" s="11">
        <f>D11*2%</f>
        <v>0.1</v>
      </c>
      <c r="I11" s="11">
        <f>G11+H11</f>
        <v>25.1</v>
      </c>
      <c r="J11" s="11">
        <f>I11+I11*15%</f>
        <v>28.865000000000002</v>
      </c>
      <c r="K11" s="11">
        <f>J11/D11</f>
        <v>5.7730000000000006</v>
      </c>
      <c r="L11" s="15">
        <f>J11-I11</f>
        <v>3.7650000000000006</v>
      </c>
    </row>
    <row r="12" spans="1:12" x14ac:dyDescent="0.25">
      <c r="A12" s="9">
        <v>46181</v>
      </c>
      <c r="B12" s="9" t="s">
        <v>31</v>
      </c>
      <c r="C12" s="10" t="s">
        <v>34</v>
      </c>
      <c r="D12" s="10">
        <v>5</v>
      </c>
      <c r="E12" s="10" t="s">
        <v>35</v>
      </c>
      <c r="F12" s="11">
        <v>3.5</v>
      </c>
      <c r="G12" s="11">
        <f>D12*F12</f>
        <v>17.5</v>
      </c>
      <c r="H12" s="11">
        <f>D12*2%</f>
        <v>0.1</v>
      </c>
      <c r="I12" s="11">
        <f>G12+H12</f>
        <v>17.600000000000001</v>
      </c>
      <c r="J12" s="11">
        <f>I12+I12*15%</f>
        <v>20.240000000000002</v>
      </c>
      <c r="K12" s="11">
        <f>J12/D12</f>
        <v>4.048</v>
      </c>
      <c r="L12" s="15">
        <f>J12-I12</f>
        <v>2.6400000000000006</v>
      </c>
    </row>
    <row r="13" spans="1:12" x14ac:dyDescent="0.25">
      <c r="A13" s="9">
        <v>46181</v>
      </c>
      <c r="B13" s="9" t="s">
        <v>36</v>
      </c>
      <c r="C13" s="10" t="s">
        <v>37</v>
      </c>
      <c r="D13" s="10">
        <v>2</v>
      </c>
      <c r="E13" s="10" t="s">
        <v>21</v>
      </c>
      <c r="F13" s="11">
        <v>7</v>
      </c>
      <c r="G13" s="11">
        <f>D13*F13</f>
        <v>14</v>
      </c>
      <c r="H13" s="11">
        <f>D13*2%</f>
        <v>0.04</v>
      </c>
      <c r="I13" s="11">
        <f>G13+H13</f>
        <v>14.04</v>
      </c>
      <c r="J13" s="11">
        <f>I13+I13*15%</f>
        <v>16.146000000000001</v>
      </c>
      <c r="K13" s="11">
        <f>J13/D13</f>
        <v>8.0730000000000004</v>
      </c>
      <c r="L13" s="15">
        <f>J13-I13</f>
        <v>2.1060000000000016</v>
      </c>
    </row>
    <row r="14" spans="1:12" x14ac:dyDescent="0.25">
      <c r="A14" s="9">
        <v>46181</v>
      </c>
      <c r="B14" s="9" t="s">
        <v>38</v>
      </c>
      <c r="C14" s="10" t="s">
        <v>39</v>
      </c>
      <c r="D14" s="10">
        <v>2</v>
      </c>
      <c r="E14" s="10">
        <v>25</v>
      </c>
      <c r="F14" s="11">
        <v>50</v>
      </c>
      <c r="G14" s="11">
        <f>D14*F14</f>
        <v>100</v>
      </c>
      <c r="H14" s="11">
        <f>D14*2%</f>
        <v>0.04</v>
      </c>
      <c r="I14" s="11">
        <f>G14+H14</f>
        <v>100.04</v>
      </c>
      <c r="J14" s="11">
        <f>I14+I14*15%</f>
        <v>115.04600000000001</v>
      </c>
      <c r="K14" s="11">
        <f>J14/D14</f>
        <v>57.523000000000003</v>
      </c>
      <c r="L14" s="15">
        <f>J14-I14</f>
        <v>15.006</v>
      </c>
    </row>
    <row r="15" spans="1:12" x14ac:dyDescent="0.25">
      <c r="A15" s="9">
        <v>46181</v>
      </c>
      <c r="B15" s="9" t="s">
        <v>28</v>
      </c>
      <c r="C15" s="10" t="s">
        <v>40</v>
      </c>
      <c r="D15" s="10">
        <v>12</v>
      </c>
      <c r="E15" s="10" t="s">
        <v>41</v>
      </c>
      <c r="F15" s="11">
        <v>5.6</v>
      </c>
      <c r="G15" s="11">
        <f>D15*F15</f>
        <v>67.199999999999989</v>
      </c>
      <c r="H15" s="11">
        <f>D15*2%</f>
        <v>0.24</v>
      </c>
      <c r="I15" s="11">
        <f>G15+H15</f>
        <v>67.439999999999984</v>
      </c>
      <c r="J15" s="11">
        <f>I15+I15*15%</f>
        <v>77.555999999999983</v>
      </c>
      <c r="K15" s="11">
        <f>J15/D15</f>
        <v>6.4629999999999983</v>
      </c>
      <c r="L15" s="15">
        <f>J15-I15</f>
        <v>10.116</v>
      </c>
    </row>
    <row r="16" spans="1:12" x14ac:dyDescent="0.25">
      <c r="A16" s="9">
        <v>46182</v>
      </c>
      <c r="B16" s="9" t="s">
        <v>28</v>
      </c>
      <c r="C16" s="10" t="s">
        <v>42</v>
      </c>
      <c r="D16" s="10">
        <v>2</v>
      </c>
      <c r="E16" s="10" t="s">
        <v>23</v>
      </c>
      <c r="F16" s="11">
        <v>13</v>
      </c>
      <c r="G16" s="11">
        <f>D16*F16</f>
        <v>26</v>
      </c>
      <c r="H16" s="11">
        <f>D16*2%</f>
        <v>0.04</v>
      </c>
      <c r="I16" s="11">
        <f>G16+H16</f>
        <v>26.04</v>
      </c>
      <c r="J16" s="11">
        <f>I16+I16*15%</f>
        <v>29.945999999999998</v>
      </c>
      <c r="K16" s="11">
        <f>J16/D16</f>
        <v>14.972999999999999</v>
      </c>
      <c r="L16" s="15">
        <f>J16-I16</f>
        <v>3.9059999999999988</v>
      </c>
    </row>
    <row r="17" spans="1:12" x14ac:dyDescent="0.25">
      <c r="A17" s="9">
        <v>46182</v>
      </c>
      <c r="B17" s="9" t="s">
        <v>45</v>
      </c>
      <c r="C17" s="10" t="s">
        <v>43</v>
      </c>
      <c r="D17" s="10">
        <v>3</v>
      </c>
      <c r="E17" s="10" t="s">
        <v>44</v>
      </c>
      <c r="F17" s="11">
        <v>7</v>
      </c>
      <c r="G17" s="11">
        <f>D17*F17</f>
        <v>21</v>
      </c>
      <c r="H17" s="11">
        <f>D17*2%</f>
        <v>0.06</v>
      </c>
      <c r="I17" s="11">
        <f>G17+H17</f>
        <v>21.06</v>
      </c>
      <c r="J17" s="11">
        <f>I17+I17*15%</f>
        <v>24.218999999999998</v>
      </c>
      <c r="K17" s="11">
        <f>J17/D17</f>
        <v>8.0729999999999986</v>
      </c>
      <c r="L17" s="15">
        <f>J17-I17</f>
        <v>3.1589999999999989</v>
      </c>
    </row>
    <row r="18" spans="1:12" x14ac:dyDescent="0.25">
      <c r="A18" s="10" t="s">
        <v>15</v>
      </c>
      <c r="B18" s="10"/>
      <c r="C18" s="10"/>
      <c r="D18" s="10"/>
      <c r="E18" s="10"/>
      <c r="F18" s="10"/>
      <c r="G18" s="10"/>
      <c r="H18" s="10"/>
      <c r="I18" s="12">
        <f>SUBTOTAL(109,Tabela1[CUSTO TOTAL])</f>
        <v>1683.0399999999997</v>
      </c>
      <c r="J18" s="12">
        <f>SUBTOTAL(109,Tabela1[PREÇO DE VENDA])</f>
        <v>1935.4960000000001</v>
      </c>
      <c r="K18" s="12">
        <f>SUBTOTAL(109,Tabela1[PREÇO UNIT. VENDA])</f>
        <v>239.90149999999997</v>
      </c>
      <c r="L18" s="13">
        <f>SUBTOTAL(109,Tabela1[VALOR LUCRO])</f>
        <v>252.45600000000002</v>
      </c>
    </row>
    <row r="19" spans="1:12" x14ac:dyDescent="0.25">
      <c r="E19" t="s">
        <v>10</v>
      </c>
    </row>
    <row r="27" spans="1:12" x14ac:dyDescent="0.25">
      <c r="E27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2026-08-20T16:53:25Z</dcterms:created>
  <dcterms:modified xsi:type="dcterms:W3CDTF">2026-08-21T17:14:24Z</dcterms:modified>
</cp:coreProperties>
</file>