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luno\Mikael\Assistente de informática\Pacote Office\Microsoft Excel\"/>
    </mc:Choice>
  </mc:AlternateContent>
  <xr:revisionPtr revIDLastSave="0" documentId="13_ncr:1_{8CE3E230-4F3E-41BB-AB7E-78714D9FA4F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anutenção" sheetId="1" r:id="rId1"/>
  </sheets>
  <definedNames>
    <definedName name="_xlnm._FilterDatabase" localSheetId="0" hidden="1">Manutenção!$B$1:$G$17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</calcChain>
</file>

<file path=xl/sharedStrings.xml><?xml version="1.0" encoding="utf-8"?>
<sst xmlns="http://schemas.openxmlformats.org/spreadsheetml/2006/main" count="84" uniqueCount="60">
  <si>
    <t>Setor</t>
  </si>
  <si>
    <t>Nome do usuário</t>
  </si>
  <si>
    <t>Nome do equipamento</t>
  </si>
  <si>
    <t>Marca</t>
  </si>
  <si>
    <t>Modelo</t>
  </si>
  <si>
    <t>Data da compra</t>
  </si>
  <si>
    <t>Administrativo</t>
  </si>
  <si>
    <t>Ana Paula Silva</t>
  </si>
  <si>
    <t>Desktop</t>
  </si>
  <si>
    <t>Dell</t>
  </si>
  <si>
    <t>OptiPlex 7090</t>
  </si>
  <si>
    <t>Financeiro</t>
  </si>
  <si>
    <t>Carlos Eduardo Lima</t>
  </si>
  <si>
    <t>Notebook</t>
  </si>
  <si>
    <t>Lenovo</t>
  </si>
  <si>
    <t>ThinkPad E14</t>
  </si>
  <si>
    <t>RH</t>
  </si>
  <si>
    <t>Mariana Souza</t>
  </si>
  <si>
    <t>HP</t>
  </si>
  <si>
    <t>ProDesk 600 G6</t>
  </si>
  <si>
    <t>TI</t>
  </si>
  <si>
    <t>João Victor Santos</t>
  </si>
  <si>
    <t>Latitude 5420</t>
  </si>
  <si>
    <t>Comercial</t>
  </si>
  <si>
    <t>Fernanda Oliveira</t>
  </si>
  <si>
    <t>Acer</t>
  </si>
  <si>
    <t>Veriton X</t>
  </si>
  <si>
    <t>Recepção</t>
  </si>
  <si>
    <t>Beatriz Costa</t>
  </si>
  <si>
    <t>ThinkCentre M720</t>
  </si>
  <si>
    <t>Contabilidade</t>
  </si>
  <si>
    <t>Rafael Martins</t>
  </si>
  <si>
    <t>ProBook 450 G8</t>
  </si>
  <si>
    <t>Compras</t>
  </si>
  <si>
    <t>Lucas Almeida</t>
  </si>
  <si>
    <t>OptiPlex 3080</t>
  </si>
  <si>
    <t>Logística</t>
  </si>
  <si>
    <t>Juliana Ferreira</t>
  </si>
  <si>
    <t>Aspire 5</t>
  </si>
  <si>
    <t>Diretoria</t>
  </si>
  <si>
    <t>Ricardo Gomes</t>
  </si>
  <si>
    <t>Latitude 5520</t>
  </si>
  <si>
    <t>Jurídico</t>
  </si>
  <si>
    <t>Camila Rodrigues</t>
  </si>
  <si>
    <t>EliteDesk 800 G5</t>
  </si>
  <si>
    <t>Marketing</t>
  </si>
  <si>
    <t>Pedro Henrique</t>
  </si>
  <si>
    <t>IdeaPad 5</t>
  </si>
  <si>
    <t>Atendimento</t>
  </si>
  <si>
    <t>Larissa Mendes</t>
  </si>
  <si>
    <t>Veriton M</t>
  </si>
  <si>
    <t>Operacional</t>
  </si>
  <si>
    <t>Gabriel Rocha</t>
  </si>
  <si>
    <t>Inspiron 15</t>
  </si>
  <si>
    <t>Engenharia</t>
  </si>
  <si>
    <t>Bruno Carvalho</t>
  </si>
  <si>
    <t>ThinkCentre M75s</t>
  </si>
  <si>
    <t>código</t>
  </si>
  <si>
    <t>Tempo da garantia (dias)</t>
  </si>
  <si>
    <t>Data de venc. Garantia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</si>
</sst>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  <xf numFmtId="14" fontId="0" fillId="0" borderId="0" xfId="0" applyNumberFormat="1"/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pane ySplit="1" topLeftCell="A2" activePane="bottomLeft" state="frozen"/>
      <selection pane="bottomLeft" sqref="A1:I17"/>
    </sheetView>
  </sheetViews>
  <sheetFormatPr defaultRowHeight="15" x14ac:dyDescent="0.25"/>
  <cols>
    <col min="1" max="1" width="6.85546875" bestFit="1" customWidth="1"/>
    <col min="2" max="2" width="14" customWidth="1"/>
    <col min="3" max="3" width="18" customWidth="1"/>
    <col min="4" max="4" width="22" customWidth="1"/>
    <col min="5" max="5" width="20" customWidth="1"/>
    <col min="6" max="6" width="14" customWidth="1"/>
    <col min="7" max="7" width="22" customWidth="1"/>
    <col min="8" max="8" width="22.85546875" bestFit="1" customWidth="1"/>
    <col min="9" max="9" width="13.28515625" customWidth="1"/>
  </cols>
  <sheetData>
    <row r="1" spans="1:9" ht="30" x14ac:dyDescent="0.25">
      <c r="A1" s="2" t="s">
        <v>57</v>
      </c>
      <c r="B1" s="9" t="s">
        <v>5</v>
      </c>
      <c r="C1" s="10" t="s">
        <v>0</v>
      </c>
      <c r="D1" s="10" t="s">
        <v>1</v>
      </c>
      <c r="E1" s="10" t="s">
        <v>2</v>
      </c>
      <c r="F1" s="10" t="s">
        <v>3</v>
      </c>
      <c r="G1" s="10" t="s">
        <v>4</v>
      </c>
      <c r="H1" s="11" t="s">
        <v>58</v>
      </c>
      <c r="I1" s="12" t="s">
        <v>59</v>
      </c>
    </row>
    <row r="2" spans="1:9" x14ac:dyDescent="0.25">
      <c r="A2" s="2"/>
      <c r="B2" s="4"/>
      <c r="C2" s="5"/>
      <c r="D2" s="5"/>
      <c r="E2" s="5"/>
      <c r="F2" s="5"/>
      <c r="G2" s="5"/>
      <c r="H2" s="6"/>
    </row>
    <row r="3" spans="1:9" x14ac:dyDescent="0.25">
      <c r="A3" s="3">
        <v>1</v>
      </c>
      <c r="B3" s="7">
        <v>45413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8">
        <f>365*2</f>
        <v>730</v>
      </c>
      <c r="I3" s="7">
        <f>B3+H3</f>
        <v>46143</v>
      </c>
    </row>
    <row r="4" spans="1:9" x14ac:dyDescent="0.25">
      <c r="A4" s="3">
        <v>2</v>
      </c>
      <c r="B4" s="7">
        <v>45453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8">
        <f t="shared" ref="H4:H17" si="0">365*2</f>
        <v>730</v>
      </c>
      <c r="I4" s="7">
        <f t="shared" ref="I4:I17" si="1">B4+H4</f>
        <v>46183</v>
      </c>
    </row>
    <row r="5" spans="1:9" x14ac:dyDescent="0.25">
      <c r="A5" s="3">
        <v>3</v>
      </c>
      <c r="B5" s="7">
        <v>45493</v>
      </c>
      <c r="C5" s="1" t="s">
        <v>16</v>
      </c>
      <c r="D5" s="1" t="s">
        <v>17</v>
      </c>
      <c r="E5" s="1" t="s">
        <v>8</v>
      </c>
      <c r="F5" s="1" t="s">
        <v>18</v>
      </c>
      <c r="G5" s="1" t="s">
        <v>19</v>
      </c>
      <c r="H5" s="8">
        <f t="shared" si="0"/>
        <v>730</v>
      </c>
      <c r="I5" s="7">
        <f t="shared" si="1"/>
        <v>46223</v>
      </c>
    </row>
    <row r="6" spans="1:9" x14ac:dyDescent="0.25">
      <c r="A6" s="3">
        <v>4</v>
      </c>
      <c r="B6" s="7">
        <v>45533</v>
      </c>
      <c r="C6" s="1" t="s">
        <v>20</v>
      </c>
      <c r="D6" s="1" t="s">
        <v>21</v>
      </c>
      <c r="E6" s="1" t="s">
        <v>13</v>
      </c>
      <c r="F6" s="1" t="s">
        <v>9</v>
      </c>
      <c r="G6" s="1" t="s">
        <v>22</v>
      </c>
      <c r="H6" s="8">
        <f t="shared" si="0"/>
        <v>730</v>
      </c>
      <c r="I6" s="7">
        <f t="shared" si="1"/>
        <v>46263</v>
      </c>
    </row>
    <row r="7" spans="1:9" x14ac:dyDescent="0.25">
      <c r="A7" s="3">
        <v>5</v>
      </c>
      <c r="B7" s="7">
        <v>45573</v>
      </c>
      <c r="C7" s="1" t="s">
        <v>23</v>
      </c>
      <c r="D7" s="1" t="s">
        <v>24</v>
      </c>
      <c r="E7" s="1" t="s">
        <v>8</v>
      </c>
      <c r="F7" s="1" t="s">
        <v>25</v>
      </c>
      <c r="G7" s="1" t="s">
        <v>26</v>
      </c>
      <c r="H7" s="8">
        <f t="shared" si="0"/>
        <v>730</v>
      </c>
      <c r="I7" s="7">
        <f t="shared" si="1"/>
        <v>46303</v>
      </c>
    </row>
    <row r="8" spans="1:9" x14ac:dyDescent="0.25">
      <c r="A8" s="3">
        <v>6</v>
      </c>
      <c r="B8" s="7">
        <v>45613</v>
      </c>
      <c r="C8" s="1" t="s">
        <v>27</v>
      </c>
      <c r="D8" s="1" t="s">
        <v>28</v>
      </c>
      <c r="E8" s="1" t="s">
        <v>8</v>
      </c>
      <c r="F8" s="1" t="s">
        <v>14</v>
      </c>
      <c r="G8" s="1" t="s">
        <v>29</v>
      </c>
      <c r="H8" s="8">
        <f t="shared" si="0"/>
        <v>730</v>
      </c>
      <c r="I8" s="7">
        <f t="shared" si="1"/>
        <v>46343</v>
      </c>
    </row>
    <row r="9" spans="1:9" x14ac:dyDescent="0.25">
      <c r="A9" s="3">
        <v>7</v>
      </c>
      <c r="B9" s="7">
        <v>45653</v>
      </c>
      <c r="C9" s="1" t="s">
        <v>30</v>
      </c>
      <c r="D9" s="1" t="s">
        <v>31</v>
      </c>
      <c r="E9" s="1" t="s">
        <v>13</v>
      </c>
      <c r="F9" s="1" t="s">
        <v>18</v>
      </c>
      <c r="G9" s="1" t="s">
        <v>32</v>
      </c>
      <c r="H9" s="8">
        <f t="shared" si="0"/>
        <v>730</v>
      </c>
      <c r="I9" s="7">
        <f t="shared" si="1"/>
        <v>46383</v>
      </c>
    </row>
    <row r="10" spans="1:9" x14ac:dyDescent="0.25">
      <c r="A10" s="3">
        <v>8</v>
      </c>
      <c r="B10" s="7">
        <v>45693</v>
      </c>
      <c r="C10" s="1" t="s">
        <v>33</v>
      </c>
      <c r="D10" s="1" t="s">
        <v>34</v>
      </c>
      <c r="E10" s="1" t="s">
        <v>8</v>
      </c>
      <c r="F10" s="1" t="s">
        <v>9</v>
      </c>
      <c r="G10" s="1" t="s">
        <v>35</v>
      </c>
      <c r="H10" s="8">
        <f t="shared" si="0"/>
        <v>730</v>
      </c>
      <c r="I10" s="7">
        <f t="shared" si="1"/>
        <v>46423</v>
      </c>
    </row>
    <row r="11" spans="1:9" x14ac:dyDescent="0.25">
      <c r="A11" s="3">
        <v>9</v>
      </c>
      <c r="B11" s="7">
        <v>45733</v>
      </c>
      <c r="C11" s="1" t="s">
        <v>36</v>
      </c>
      <c r="D11" s="1" t="s">
        <v>37</v>
      </c>
      <c r="E11" s="1" t="s">
        <v>13</v>
      </c>
      <c r="F11" s="1" t="s">
        <v>25</v>
      </c>
      <c r="G11" s="1" t="s">
        <v>38</v>
      </c>
      <c r="H11" s="8">
        <f t="shared" si="0"/>
        <v>730</v>
      </c>
      <c r="I11" s="7">
        <f t="shared" si="1"/>
        <v>46463</v>
      </c>
    </row>
    <row r="12" spans="1:9" x14ac:dyDescent="0.25">
      <c r="A12" s="3">
        <v>10</v>
      </c>
      <c r="B12" s="7">
        <v>45773</v>
      </c>
      <c r="C12" s="1" t="s">
        <v>39</v>
      </c>
      <c r="D12" s="1" t="s">
        <v>40</v>
      </c>
      <c r="E12" s="1" t="s">
        <v>13</v>
      </c>
      <c r="F12" s="1" t="s">
        <v>9</v>
      </c>
      <c r="G12" s="1" t="s">
        <v>41</v>
      </c>
      <c r="H12" s="8">
        <f t="shared" si="0"/>
        <v>730</v>
      </c>
      <c r="I12" s="7">
        <f t="shared" si="1"/>
        <v>46503</v>
      </c>
    </row>
    <row r="13" spans="1:9" x14ac:dyDescent="0.25">
      <c r="A13" s="3">
        <v>11</v>
      </c>
      <c r="B13" s="7">
        <v>45813</v>
      </c>
      <c r="C13" s="1" t="s">
        <v>42</v>
      </c>
      <c r="D13" s="1" t="s">
        <v>43</v>
      </c>
      <c r="E13" s="1" t="s">
        <v>8</v>
      </c>
      <c r="F13" s="1" t="s">
        <v>18</v>
      </c>
      <c r="G13" s="1" t="s">
        <v>44</v>
      </c>
      <c r="H13" s="8">
        <f t="shared" si="0"/>
        <v>730</v>
      </c>
      <c r="I13" s="7">
        <f t="shared" si="1"/>
        <v>46543</v>
      </c>
    </row>
    <row r="14" spans="1:9" x14ac:dyDescent="0.25">
      <c r="A14" s="3">
        <v>12</v>
      </c>
      <c r="B14" s="7">
        <v>45853</v>
      </c>
      <c r="C14" s="1" t="s">
        <v>45</v>
      </c>
      <c r="D14" s="1" t="s">
        <v>46</v>
      </c>
      <c r="E14" s="1" t="s">
        <v>13</v>
      </c>
      <c r="F14" s="1" t="s">
        <v>14</v>
      </c>
      <c r="G14" s="1" t="s">
        <v>47</v>
      </c>
      <c r="H14" s="8">
        <f t="shared" si="0"/>
        <v>730</v>
      </c>
      <c r="I14" s="7">
        <f t="shared" si="1"/>
        <v>46583</v>
      </c>
    </row>
    <row r="15" spans="1:9" x14ac:dyDescent="0.25">
      <c r="A15" s="3">
        <v>13</v>
      </c>
      <c r="B15" s="7">
        <v>45893</v>
      </c>
      <c r="C15" s="1" t="s">
        <v>48</v>
      </c>
      <c r="D15" s="1" t="s">
        <v>49</v>
      </c>
      <c r="E15" s="1" t="s">
        <v>8</v>
      </c>
      <c r="F15" s="1" t="s">
        <v>25</v>
      </c>
      <c r="G15" s="1" t="s">
        <v>50</v>
      </c>
      <c r="H15" s="8">
        <f t="shared" si="0"/>
        <v>730</v>
      </c>
      <c r="I15" s="7">
        <f t="shared" si="1"/>
        <v>46623</v>
      </c>
    </row>
    <row r="16" spans="1:9" x14ac:dyDescent="0.25">
      <c r="A16" s="3">
        <v>14</v>
      </c>
      <c r="B16" s="7">
        <v>45933</v>
      </c>
      <c r="C16" s="1" t="s">
        <v>51</v>
      </c>
      <c r="D16" s="1" t="s">
        <v>52</v>
      </c>
      <c r="E16" s="1" t="s">
        <v>13</v>
      </c>
      <c r="F16" s="1" t="s">
        <v>9</v>
      </c>
      <c r="G16" s="1" t="s">
        <v>53</v>
      </c>
      <c r="H16" s="8">
        <f t="shared" si="0"/>
        <v>730</v>
      </c>
      <c r="I16" s="7">
        <f t="shared" si="1"/>
        <v>46663</v>
      </c>
    </row>
    <row r="17" spans="1:9" x14ac:dyDescent="0.25">
      <c r="A17" s="3">
        <v>15</v>
      </c>
      <c r="B17" s="7">
        <v>45973</v>
      </c>
      <c r="C17" s="1" t="s">
        <v>54</v>
      </c>
      <c r="D17" s="1" t="s">
        <v>55</v>
      </c>
      <c r="E17" s="1" t="s">
        <v>8</v>
      </c>
      <c r="F17" s="1" t="s">
        <v>14</v>
      </c>
      <c r="G17" s="1" t="s">
        <v>56</v>
      </c>
      <c r="H17" s="8">
        <f t="shared" si="0"/>
        <v>730</v>
      </c>
      <c r="I17" s="7">
        <f t="shared" si="1"/>
        <v>46703</v>
      </c>
    </row>
    <row r="18" spans="1:9" x14ac:dyDescent="0.25">
      <c r="C18" s="1"/>
      <c r="D18" s="1"/>
      <c r="E18" s="1"/>
      <c r="F18" s="1"/>
      <c r="G18" s="1"/>
    </row>
  </sheetData>
  <autoFilter ref="B1:G1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Manutenção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LABORATÓRIO</cp:lastModifiedBy>
  <dcterms:created xsi:type="dcterms:W3CDTF">2026-09-09T16:46:30Z</dcterms:created>
  <dcterms:modified xsi:type="dcterms:W3CDTF">2026-09-09T17:39:53Z</dcterms:modified>
</cp:coreProperties>
</file>