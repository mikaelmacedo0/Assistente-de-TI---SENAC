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0000001_{4B36D89F-D6BA-421F-A3A6-C4553755E0B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oposta" sheetId="7" r:id="rId1"/>
    <sheet name="Clientes" sheetId="4" r:id="rId2"/>
    <sheet name="Técnico" sheetId="2" r:id="rId3"/>
    <sheet name="Serviços" sheetId="1" r:id="rId4"/>
    <sheet name="Equipamentos" sheetId="3" r:id="rId5"/>
  </sheets>
  <definedNames>
    <definedName name="_xlnm._FilterDatabase" localSheetId="3" hidden="1">Serviços!$A$1:$C$12</definedName>
    <definedName name="Clientes">Clientes!$A$2:$J$22</definedName>
    <definedName name="Serviços">Serviços!$A$2:$C$12</definedName>
    <definedName name="Tecnico">Técnico!$A$1:$B$14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F26" i="7"/>
  <c r="F25" i="7"/>
  <c r="F24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B10" i="7"/>
  <c r="B9" i="7"/>
  <c r="B8" i="7"/>
  <c r="F7" i="7"/>
  <c r="B7" i="7"/>
  <c r="F6" i="7"/>
  <c r="B6" i="7"/>
  <c r="F5" i="7"/>
  <c r="F4" i="7"/>
  <c r="F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LABORATÓRIO</author>
  </authors>
  <commentList>
    <comment ref="F3" authorId="0" shapeId="0" xr:uid="{BEB0A535-826A-4726-9575-FB001F89BCBE}">
      <text>
        <r>
          <rPr>
            <b/>
            <sz val="9"/>
            <color indexed="81"/>
            <rFont val="Segoe UI"/>
            <family val="2"/>
          </rPr>
          <t>SE(B3&lt;1;"";PROCV(B3;CLIENTES;5;0))
=SE é uma função lógica que testa um valor 
B3 = local onde o valor será testado
&lt;= menor ou igual a 1 é a condição
Se a condição for verdaeira resposta em branco
"" é uma resposta em branco
PROCV(B3;Clientes;5;0) é a resposta falasa do teste lógico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<sst xmlns="http://schemas.openxmlformats.org/spreadsheetml/2006/main" count="299" uniqueCount="259">
  <si>
    <t>Descrição do serviço</t>
  </si>
  <si>
    <t>Preço (R$)</t>
  </si>
  <si>
    <t>Formatação do computador</t>
  </si>
  <si>
    <t>Limpeza interna</t>
  </si>
  <si>
    <t>Instalação do Windows</t>
  </si>
  <si>
    <t>Instalação de programas</t>
  </si>
  <si>
    <t>Remoção de vírus</t>
  </si>
  <si>
    <t>Backup de arquivos</t>
  </si>
  <si>
    <t>Troca de HD/SSD</t>
  </si>
  <si>
    <t>Upgrade de memória RAM</t>
  </si>
  <si>
    <t>Configuração de rede</t>
  </si>
  <si>
    <t>Diagnóstico técnico</t>
  </si>
  <si>
    <t>Código</t>
  </si>
  <si>
    <t>Nome do Técnico</t>
  </si>
  <si>
    <t>Rejane</t>
  </si>
  <si>
    <t>Levi</t>
  </si>
  <si>
    <t>Jean</t>
  </si>
  <si>
    <t>Georgeana</t>
  </si>
  <si>
    <t>Natanael</t>
  </si>
  <si>
    <t>Maria Evelina</t>
  </si>
  <si>
    <t>Talita</t>
  </si>
  <si>
    <t>Wilton</t>
  </si>
  <si>
    <t>Pâmela</t>
  </si>
  <si>
    <t>Evely Gabriele</t>
  </si>
  <si>
    <t>Kaua Benevides</t>
  </si>
  <si>
    <t>Mikael</t>
  </si>
  <si>
    <t>código</t>
  </si>
  <si>
    <t>Data da compra</t>
  </si>
  <si>
    <t>Setor</t>
  </si>
  <si>
    <t>Nome do usuário</t>
  </si>
  <si>
    <t>Nome do equipamento</t>
  </si>
  <si>
    <t>Marca</t>
  </si>
  <si>
    <t>Modelo</t>
  </si>
  <si>
    <t>Tempo da garantia (dias)</t>
  </si>
  <si>
    <t>Data de venc. Garantia</t>
  </si>
  <si>
    <t>Administrativo</t>
  </si>
  <si>
    <t>Ana Paula Silva</t>
  </si>
  <si>
    <t>Desktop</t>
  </si>
  <si>
    <t>Dell</t>
  </si>
  <si>
    <t>OptiPlex 7090</t>
  </si>
  <si>
    <t>Financeiro</t>
  </si>
  <si>
    <t>Carlos Eduardo Lima</t>
  </si>
  <si>
    <t>Notebook</t>
  </si>
  <si>
    <t>Lenovo</t>
  </si>
  <si>
    <t>ThinkPad E14</t>
  </si>
  <si>
    <t>RH</t>
  </si>
  <si>
    <t>Mariana Souza</t>
  </si>
  <si>
    <t>HP</t>
  </si>
  <si>
    <t>ProDesk 600 G6</t>
  </si>
  <si>
    <t>TI</t>
  </si>
  <si>
    <t>João Victor Santos</t>
  </si>
  <si>
    <t>Latitude 5420</t>
  </si>
  <si>
    <t>Comercial</t>
  </si>
  <si>
    <t>Fernanda Oliveira</t>
  </si>
  <si>
    <t>Acer</t>
  </si>
  <si>
    <t>Veriton X</t>
  </si>
  <si>
    <t>Recepção</t>
  </si>
  <si>
    <t>Beatriz Costa</t>
  </si>
  <si>
    <t>ThinkCentre M720</t>
  </si>
  <si>
    <t>Contabilidade</t>
  </si>
  <si>
    <t>Rafael Martins</t>
  </si>
  <si>
    <t>ProBook 450 G8</t>
  </si>
  <si>
    <t>Compras</t>
  </si>
  <si>
    <t>Lucas Almeida</t>
  </si>
  <si>
    <t>OptiPlex 3080</t>
  </si>
  <si>
    <t>Logística</t>
  </si>
  <si>
    <t>Juliana Ferreira</t>
  </si>
  <si>
    <t>Aspire 5</t>
  </si>
  <si>
    <t>Diretoria</t>
  </si>
  <si>
    <t>Ricardo Gomes</t>
  </si>
  <si>
    <t>Latitude 5520</t>
  </si>
  <si>
    <t>Jurídico</t>
  </si>
  <si>
    <t>Camila Rodrigues</t>
  </si>
  <si>
    <t>EliteDesk 800 G5</t>
  </si>
  <si>
    <t>Marketing</t>
  </si>
  <si>
    <t>Pedro Henrique</t>
  </si>
  <si>
    <t>IdeaPad 5</t>
  </si>
  <si>
    <t>Atendimento</t>
  </si>
  <si>
    <t>Larissa Mendes</t>
  </si>
  <si>
    <t>Veriton M</t>
  </si>
  <si>
    <t>Operacional</t>
  </si>
  <si>
    <t>Gabriel Rocha</t>
  </si>
  <si>
    <t>Inspiron 15</t>
  </si>
  <si>
    <t>Engenharia</t>
  </si>
  <si>
    <t>Bruno Carvalho</t>
  </si>
  <si>
    <t>ThinkCentre M75s</t>
  </si>
  <si>
    <t>Data do Cadastro</t>
  </si>
  <si>
    <t>Nome do Cliente</t>
  </si>
  <si>
    <t>Nº CPF</t>
  </si>
  <si>
    <t>Nº WhatsApp</t>
  </si>
  <si>
    <t>Endereço</t>
  </si>
  <si>
    <t>Bairro</t>
  </si>
  <si>
    <t>Cidade</t>
  </si>
  <si>
    <t>Estado</t>
  </si>
  <si>
    <t>Ana Silva Santos</t>
  </si>
  <si>
    <t>123.456.789-01</t>
  </si>
  <si>
    <t>(11) 98765-4321</t>
  </si>
  <si>
    <t>Av. Paulista, 1000</t>
  </si>
  <si>
    <t>Bela Vista</t>
  </si>
  <si>
    <t>São Paulo</t>
  </si>
  <si>
    <t>SP</t>
  </si>
  <si>
    <t>Bruno Oliveira Lima</t>
  </si>
  <si>
    <t>234.567.890-12</t>
  </si>
  <si>
    <t>(21) 99876-5432</t>
  </si>
  <si>
    <t>Rua Barão da Torre, 250</t>
  </si>
  <si>
    <t>Ipanema</t>
  </si>
  <si>
    <t>Rio de Janeiro</t>
  </si>
  <si>
    <t>RJ</t>
  </si>
  <si>
    <t>Carla Souza Pereira</t>
  </si>
  <si>
    <t>345.678.901-23</t>
  </si>
  <si>
    <t>(31) 97654-3210</t>
  </si>
  <si>
    <t>Av. Afonso Pena, 1500</t>
  </si>
  <si>
    <t>Centro</t>
  </si>
  <si>
    <t>Belo Horizonte</t>
  </si>
  <si>
    <t>MG</t>
  </si>
  <si>
    <t>Daniel Costa Ferreira</t>
  </si>
  <si>
    <t>456.789.012-34</t>
  </si>
  <si>
    <t>(41) 98877-6655</t>
  </si>
  <si>
    <t>Rua das Flores, 45</t>
  </si>
  <si>
    <t>Batel</t>
  </si>
  <si>
    <t>Curitiba</t>
  </si>
  <si>
    <t>PR</t>
  </si>
  <si>
    <t>Eduardo Rodrigues Alves</t>
  </si>
  <si>
    <t>567.890.123-45</t>
  </si>
  <si>
    <t>(51) 99123-4567</t>
  </si>
  <si>
    <t>Av. Borges de Medeiros, 800</t>
  </si>
  <si>
    <t>Praia de Belas</t>
  </si>
  <si>
    <t>Porto Alegre</t>
  </si>
  <si>
    <t>RS</t>
  </si>
  <si>
    <t>Fernanda Lima Barbosa</t>
  </si>
  <si>
    <t>678.901.234-56</t>
  </si>
  <si>
    <t>(71) 98234-5678</t>
  </si>
  <si>
    <t>Av. Oceanica, 300</t>
  </si>
  <si>
    <t>Barra</t>
  </si>
  <si>
    <t>Salvador</t>
  </si>
  <si>
    <t>BA</t>
  </si>
  <si>
    <t>Gabriel Martins Ribeiro</t>
  </si>
  <si>
    <t>789.012.345-67</t>
  </si>
  <si>
    <t>(85) 99345-6789</t>
  </si>
  <si>
    <t>Av. Beira Mar, 2100</t>
  </si>
  <si>
    <t>Meireles</t>
  </si>
  <si>
    <t>Fortaleza</t>
  </si>
  <si>
    <t>CE</t>
  </si>
  <si>
    <t>Helena Castro Gomes</t>
  </si>
  <si>
    <t>890.123.456-78</t>
  </si>
  <si>
    <t>(81) 98456-7890</t>
  </si>
  <si>
    <t>Av. Boa Viagem, 1200</t>
  </si>
  <si>
    <t>Boa Viagem</t>
  </si>
  <si>
    <t>Recife</t>
  </si>
  <si>
    <t>PE</t>
  </si>
  <si>
    <t>Igor Fernandes Rocha</t>
  </si>
  <si>
    <t>901.234.567-89</t>
  </si>
  <si>
    <t>(61) 99567-8901</t>
  </si>
  <si>
    <t>SQN 208 Bloco B, Apt 102</t>
  </si>
  <si>
    <t>Asa Norte</t>
  </si>
  <si>
    <t>Brasília</t>
  </si>
  <si>
    <t>DF</t>
  </si>
  <si>
    <t>Juliana Mendes Carvalho</t>
  </si>
  <si>
    <t>012.345.678-90</t>
  </si>
  <si>
    <t>(27) 98678-9012</t>
  </si>
  <si>
    <t>Av. Dante Michelini, 500</t>
  </si>
  <si>
    <t>Jardim da Penha</t>
  </si>
  <si>
    <t>Vitória</t>
  </si>
  <si>
    <t>ES</t>
  </si>
  <si>
    <t>Lucas Araújo Correia</t>
  </si>
  <si>
    <t>112.233.445-56</t>
  </si>
  <si>
    <t>(62) 99789-0123</t>
  </si>
  <si>
    <t>Av. T-63, 1100</t>
  </si>
  <si>
    <t>Setor Bueno</t>
  </si>
  <si>
    <t>Goiânia</t>
  </si>
  <si>
    <t>GO</t>
  </si>
  <si>
    <t>Mariana Azevedo Melo</t>
  </si>
  <si>
    <t>223.344.556-67</t>
  </si>
  <si>
    <t>(92) 98890-1234</t>
  </si>
  <si>
    <t>Av. Djalma Batista, 450</t>
  </si>
  <si>
    <t>Nossa Senhora das Graças</t>
  </si>
  <si>
    <t>Manaus</t>
  </si>
  <si>
    <t>AM</t>
  </si>
  <si>
    <t>Nicolas Cardoso Teixeira</t>
  </si>
  <si>
    <t>334.455.667-78</t>
  </si>
  <si>
    <t>(84) 99901-2345</t>
  </si>
  <si>
    <t>Av. Engenheiro Roberto Freire, 800</t>
  </si>
  <si>
    <t>Capim Macio</t>
  </si>
  <si>
    <t>Natal</t>
  </si>
  <si>
    <t>RN</t>
  </si>
  <si>
    <t>Olivia Duarte Freitas</t>
  </si>
  <si>
    <t>445.566.778-89</t>
  </si>
  <si>
    <t>(48) 98112-2334</t>
  </si>
  <si>
    <t>Rodovia SC-401, 1500</t>
  </si>
  <si>
    <t>Saco Grande</t>
  </si>
  <si>
    <t>Florianópolis</t>
  </si>
  <si>
    <t>SC</t>
  </si>
  <si>
    <t>Paulo Henrique Ramos</t>
  </si>
  <si>
    <t>556.677.889-90</t>
  </si>
  <si>
    <t>(98) 99223-3445</t>
  </si>
  <si>
    <t>Av. dos Holandeses, 10</t>
  </si>
  <si>
    <t>Calhau</t>
  </si>
  <si>
    <t>São Luís</t>
  </si>
  <si>
    <t>MA</t>
  </si>
  <si>
    <t>Quintino Vieira Lopes</t>
  </si>
  <si>
    <t>667.788.990-01</t>
  </si>
  <si>
    <t>(83) 98334-4556</t>
  </si>
  <si>
    <t>Av. Epitácio Pessoa, 2300</t>
  </si>
  <si>
    <t>Tambaú</t>
  </si>
  <si>
    <t>João Pessoa</t>
  </si>
  <si>
    <t>PB</t>
  </si>
  <si>
    <t>Renata Nunes Monte</t>
  </si>
  <si>
    <t>778.899.001-12</t>
  </si>
  <si>
    <t>(82) 99445-5667</t>
  </si>
  <si>
    <t>Av. Álvaro Otacílio, 900</t>
  </si>
  <si>
    <t>Jatiúca</t>
  </si>
  <si>
    <t>Maceió</t>
  </si>
  <si>
    <t>AL</t>
  </si>
  <si>
    <t>Samuel Barbosa Farias</t>
  </si>
  <si>
    <t>889.900.112-23</t>
  </si>
  <si>
    <t>(79) 98556-6778</t>
  </si>
  <si>
    <t>Av. Santos Dumont, 1400</t>
  </si>
  <si>
    <t>Atalaia</t>
  </si>
  <si>
    <t>Aracaju</t>
  </si>
  <si>
    <t>SE</t>
  </si>
  <si>
    <t>Tatiana Cavalcanti Dias</t>
  </si>
  <si>
    <t>990.011.223-34</t>
  </si>
  <si>
    <t>(65) 99667-7889</t>
  </si>
  <si>
    <t>Av. Historiador Rubens de Mendonça, 600</t>
  </si>
  <si>
    <t>Bosque da Saúde</t>
  </si>
  <si>
    <t>Cuiabá</t>
  </si>
  <si>
    <t>MT</t>
  </si>
  <si>
    <t>Vinicius Monteiro Machado</t>
  </si>
  <si>
    <t>001.122.334-45</t>
  </si>
  <si>
    <t>(67) 98778-8990</t>
  </si>
  <si>
    <t>Av. Afonso Pena, 3000</t>
  </si>
  <si>
    <t>Jardim dos Estados</t>
  </si>
  <si>
    <t>Campo Grande</t>
  </si>
  <si>
    <t>MS</t>
  </si>
  <si>
    <t>Dados do Cliente</t>
  </si>
  <si>
    <t>Nome</t>
  </si>
  <si>
    <t>NºCPF</t>
  </si>
  <si>
    <t>Data Nasc</t>
  </si>
  <si>
    <t>Idade:</t>
  </si>
  <si>
    <t>Data Nascimento</t>
  </si>
  <si>
    <t>Data Cadastro:</t>
  </si>
  <si>
    <t>Cliente ativo:</t>
  </si>
  <si>
    <t>PROPOSTA DE SERVIÇOS</t>
  </si>
  <si>
    <t>CÓDIGO SERVIÇO</t>
  </si>
  <si>
    <t>DESCRIÇÃO DO SERVIÇO</t>
  </si>
  <si>
    <t>QUANT</t>
  </si>
  <si>
    <t>UNIDADE</t>
  </si>
  <si>
    <t>VALOR UNITÁRIO</t>
  </si>
  <si>
    <t>VALOR TOTAL</t>
  </si>
  <si>
    <t>CLIENTE</t>
  </si>
  <si>
    <t>UM</t>
  </si>
  <si>
    <t>Subtotal</t>
  </si>
  <si>
    <t>Total a pagar</t>
  </si>
  <si>
    <t>ISS</t>
  </si>
  <si>
    <t>Desconto</t>
  </si>
  <si>
    <t>OBSERVAÇÕES:</t>
  </si>
  <si>
    <t>Código do Técnico</t>
  </si>
  <si>
    <t>Nome Técnico</t>
  </si>
  <si>
    <t>Proposta de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</si>
</sst>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\-\ ddd"/>
    <numFmt numFmtId="165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/>
    <xf numFmtId="0" fontId="0" fillId="0" borderId="5" xfId="0" applyBorder="1"/>
    <xf numFmtId="0" fontId="0" fillId="0" borderId="6" xfId="0" applyBorder="1"/>
    <xf numFmtId="0" fontId="5" fillId="2" borderId="0" xfId="0" applyFont="1" applyFill="1" applyAlignment="1" applyProtection="1">
      <alignment horizontal="center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Protection="1"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164" fontId="2" fillId="3" borderId="0" xfId="0" applyNumberFormat="1" applyFont="1" applyFill="1" applyAlignment="1" applyProtection="1">
      <alignment horizontal="center"/>
      <protection hidden="1"/>
    </xf>
    <xf numFmtId="14" fontId="0" fillId="3" borderId="0" xfId="0" applyNumberFormat="1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top" wrapText="1"/>
      <protection hidden="1"/>
    </xf>
    <xf numFmtId="0" fontId="2" fillId="3" borderId="0" xfId="0" applyFont="1" applyFill="1" applyAlignment="1" applyProtection="1">
      <alignment horizontal="center" wrapText="1"/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0" fontId="0" fillId="3" borderId="0" xfId="0" applyFill="1" applyAlignment="1" applyProtection="1">
      <alignment horizontal="center"/>
      <protection locked="0" hidden="1"/>
    </xf>
    <xf numFmtId="165" fontId="0" fillId="3" borderId="0" xfId="0" applyNumberFormat="1" applyFill="1" applyProtection="1">
      <protection hidden="1"/>
    </xf>
    <xf numFmtId="165" fontId="0" fillId="3" borderId="0" xfId="0" applyNumberFormat="1" applyFill="1" applyAlignment="1" applyProtection="1">
      <alignment horizontal="center"/>
      <protection hidden="1"/>
    </xf>
    <xf numFmtId="44" fontId="2" fillId="3" borderId="0" xfId="1" applyFont="1" applyFill="1" applyBorder="1" applyAlignment="1" applyProtection="1">
      <alignment horizontal="center"/>
      <protection hidden="1"/>
    </xf>
    <xf numFmtId="10" fontId="0" fillId="3" borderId="0" xfId="2" applyNumberFormat="1" applyFont="1" applyFill="1" applyBorder="1" applyAlignment="1" applyProtection="1">
      <alignment horizontal="center"/>
      <protection hidden="1"/>
    </xf>
    <xf numFmtId="44" fontId="0" fillId="3" borderId="0" xfId="0" applyNumberFormat="1" applyFill="1" applyAlignment="1" applyProtection="1">
      <alignment horizontal="center"/>
      <protection hidden="1"/>
    </xf>
    <xf numFmtId="44" fontId="2" fillId="3" borderId="0" xfId="0" applyNumberFormat="1" applyFont="1" applyFill="1" applyAlignment="1" applyProtection="1">
      <alignment horizontal="center"/>
      <protection hidden="1"/>
    </xf>
    <xf numFmtId="0" fontId="0" fillId="3" borderId="0" xfId="0" applyFill="1" applyAlignment="1" applyProtection="1">
      <protection locked="0" hidden="1"/>
    </xf>
    <xf numFmtId="0" fontId="0" fillId="3" borderId="0" xfId="0" applyFill="1" applyAlignment="1" applyProtection="1">
      <protection hidden="1"/>
    </xf>
    <xf numFmtId="0" fontId="0" fillId="3" borderId="0" xfId="0" applyFill="1" applyAlignment="1" applyProtection="1">
      <alignment vertical="center" wrapText="1"/>
      <protection hidden="1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2" fmlaLink="$A$13" fmlaRange="Serviços!$B$2:$B$12" noThreeD="1" sel="2"/>
</file>

<file path=xl/ctrlProps/ctrlProp2.xml><?xml version="1.0" encoding="utf-8"?>
<formControlPr xmlns="http://schemas.microsoft.com/office/spreadsheetml/2009/9/main" objectType="Drop" dropStyle="combo" dx="22" fmlaLink="$A$14" fmlaRange="Serviços!$B$2:$B$12" noThreeD="1" sel="2" val="0"/>
</file>

<file path=xl/ctrlProps/ctrlProp3.xml><?xml version="1.0" encoding="utf-8"?>
<formControlPr xmlns="http://schemas.microsoft.com/office/spreadsheetml/2009/9/main" objectType="Drop" dropStyle="combo" dx="22" fmlaLink="$A$15" fmlaRange="Serviços!$B$2:$B$12" noThreeD="1" sel="3" val="0"/>
</file>

<file path=xl/ctrlProps/ctrlProp4.xml><?xml version="1.0" encoding="utf-8"?>
<formControlPr xmlns="http://schemas.microsoft.com/office/spreadsheetml/2009/9/main" objectType="Drop" dropStyle="combo" dx="22" fmlaLink="$A$16" fmlaRange="Serviços!$B$2:$B$12" noThreeD="1" sel="4" val="0"/>
</file>

<file path=xl/ctrlProps/ctrlProp5.xml><?xml version="1.0" encoding="utf-8"?>
<formControlPr xmlns="http://schemas.microsoft.com/office/spreadsheetml/2009/9/main" objectType="Drop" dropStyle="combo" dx="22" fmlaLink="$A$17" fmlaRange="Serviços!$B$2:$B$12" noThreeD="1" sel="5" val="0"/>
</file>

<file path=xl/ctrlProps/ctrlProp6.xml><?xml version="1.0" encoding="utf-8"?>
<formControlPr xmlns="http://schemas.microsoft.com/office/spreadsheetml/2009/9/main" objectType="Drop" dropStyle="combo" dx="22" fmlaLink="$A$18" fmlaRange="Serviços!$B$2:$B$12" noThreeD="1" sel="6" val="0"/>
</file>

<file path=xl/ctrlProps/ctrlProp7.xml><?xml version="1.0" encoding="utf-8"?>
<formControlPr xmlns="http://schemas.microsoft.com/office/spreadsheetml/2009/9/main" objectType="Drop" dropStyle="combo" dx="22" fmlaLink="$A$19" fmlaRange="Serviços!$B$2:$B$12" noThreeD="1" sel="7" val="3"/>
</file>

<file path=xl/ctrlProps/ctrlProp8.xml><?xml version="1.0" encoding="utf-8"?>
<formControlPr xmlns="http://schemas.microsoft.com/office/spreadsheetml/2009/9/main" objectType="Drop" dropStyle="combo" dx="22" fmlaLink="$A$20" fmlaRange="Serviços!$B$2:$B$12" noThreeD="1" sel="8" val="3"/>
</file>

<file path=xl/ctrlProps/ctrlProp9.xml><?xml version="1.0" encoding="utf-8"?>
<formControlPr xmlns="http://schemas.microsoft.com/office/spreadsheetml/2009/9/main" objectType="Drop" dropStyle="combo" dx="22" fmlaLink="$A$21" fmlaRange="Serviços!$B$2:$B$12" noThreeD="1" sel="9" val="3"/>
</file>

<file path=xl/ctrlProps/ctrlProp10.xml><?xml version="1.0" encoding="utf-8"?>
<formControlPr xmlns="http://schemas.microsoft.com/office/spreadsheetml/2009/9/main" objectType="Drop" dropStyle="combo" dx="22" fmlaLink="$A$22" fmlaRange="Serviços!$B$2:$B$12" noThreeD="1" sel="10" val="3"/>
</file>

<file path=xl/ctrlProps/ctrlProp11.xml><?xml version="1.0" encoding="utf-8"?>
<formControlPr xmlns="http://schemas.microsoft.com/office/spreadsheetml/2009/9/main" objectType="Drop" dropStyle="combo" dx="22" fmlaLink="$B$4" fmlaRange="Clientes!$C$2:$C$22" noThreeD="1" sel="16" val="13"/>
</file>

<file path=xl/ctrlProps/ctrlProp12.xml><?xml version="1.0" encoding="utf-8"?>
<formControlPr xmlns="http://schemas.microsoft.com/office/spreadsheetml/2009/9/main" objectType="Drop" dropStyle="combo" dx="22" fmlaLink="Proposta!$E$9" fmlaRange="Técnico!$B$2:$B$14" noThreeD="1" sel="3" val="3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9525</xdr:rowOff>
        </xdr:from>
        <xdr:to>
          <xdr:col>2</xdr:col>
          <xdr:colOff>276225</xdr:colOff>
          <xdr:row>12</xdr:row>
          <xdr:rowOff>180975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9525</xdr:rowOff>
        </xdr:from>
        <xdr:to>
          <xdr:col>2</xdr:col>
          <xdr:colOff>276225</xdr:colOff>
          <xdr:row>13</xdr:row>
          <xdr:rowOff>180975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9525</xdr:rowOff>
        </xdr:from>
        <xdr:to>
          <xdr:col>2</xdr:col>
          <xdr:colOff>276225</xdr:colOff>
          <xdr:row>14</xdr:row>
          <xdr:rowOff>180975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9525</xdr:rowOff>
        </xdr:from>
        <xdr:to>
          <xdr:col>2</xdr:col>
          <xdr:colOff>276225</xdr:colOff>
          <xdr:row>15</xdr:row>
          <xdr:rowOff>180975</xdr:rowOff>
        </xdr:to>
        <xdr:sp macro="" textlink="">
          <xdr:nvSpPr>
            <xdr:cNvPr id="5127" name="Drop Down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9525</xdr:rowOff>
        </xdr:from>
        <xdr:to>
          <xdr:col>2</xdr:col>
          <xdr:colOff>276225</xdr:colOff>
          <xdr:row>16</xdr:row>
          <xdr:rowOff>180975</xdr:rowOff>
        </xdr:to>
        <xdr:sp macro="" textlink="">
          <xdr:nvSpPr>
            <xdr:cNvPr id="5128" name="Drop Down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9525</xdr:rowOff>
        </xdr:from>
        <xdr:to>
          <xdr:col>2</xdr:col>
          <xdr:colOff>276225</xdr:colOff>
          <xdr:row>17</xdr:row>
          <xdr:rowOff>180975</xdr:rowOff>
        </xdr:to>
        <xdr:sp macro="" textlink="">
          <xdr:nvSpPr>
            <xdr:cNvPr id="5129" name="Drop Dow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9525</xdr:rowOff>
        </xdr:from>
        <xdr:to>
          <xdr:col>2</xdr:col>
          <xdr:colOff>276225</xdr:colOff>
          <xdr:row>18</xdr:row>
          <xdr:rowOff>180975</xdr:rowOff>
        </xdr:to>
        <xdr:sp macro="" textlink="">
          <xdr:nvSpPr>
            <xdr:cNvPr id="5130" name="Drop Dow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9525</xdr:rowOff>
        </xdr:from>
        <xdr:to>
          <xdr:col>2</xdr:col>
          <xdr:colOff>276225</xdr:colOff>
          <xdr:row>19</xdr:row>
          <xdr:rowOff>180975</xdr:rowOff>
        </xdr:to>
        <xdr:sp macro="" textlink="">
          <xdr:nvSpPr>
            <xdr:cNvPr id="5131" name="Drop Dow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9525</xdr:rowOff>
        </xdr:from>
        <xdr:to>
          <xdr:col>2</xdr:col>
          <xdr:colOff>276225</xdr:colOff>
          <xdr:row>20</xdr:row>
          <xdr:rowOff>180975</xdr:rowOff>
        </xdr:to>
        <xdr:sp macro="" textlink="">
          <xdr:nvSpPr>
            <xdr:cNvPr id="5132" name="Drop Dow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9525</xdr:rowOff>
        </xdr:from>
        <xdr:to>
          <xdr:col>2</xdr:col>
          <xdr:colOff>276225</xdr:colOff>
          <xdr:row>21</xdr:row>
          <xdr:rowOff>180975</xdr:rowOff>
        </xdr:to>
        <xdr:sp macro="" textlink="">
          <xdr:nvSpPr>
            <xdr:cNvPr id="5133" name="Drop Dow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609601</xdr:colOff>
          <xdr:row>4</xdr:row>
          <xdr:rowOff>19050</xdr:rowOff>
        </xdr:from>
        <xdr:to>
          <xdr:col>3</xdr:col>
          <xdr:colOff>390526</xdr:colOff>
          <xdr:row>4</xdr:row>
          <xdr:rowOff>180975</xdr:rowOff>
        </xdr:to>
        <xdr:sp macro="" textlink="">
          <xdr:nvSpPr>
            <xdr:cNvPr id="5123" name="Drop Dow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8</xdr:row>
          <xdr:rowOff>9525</xdr:rowOff>
        </xdr:from>
        <xdr:to>
          <xdr:col>5</xdr:col>
          <xdr:colOff>1533525</xdr:colOff>
          <xdr:row>9</xdr:row>
          <xdr:rowOff>0</xdr:rowOff>
        </xdr:to>
        <xdr:sp macro="" textlink="">
          <xdr:nvSpPr>
            <xdr:cNvPr id="5135" name="Drop Down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211B-68F6-4CB4-BF4D-2EB82187FCC5}">
  <dimension ref="A1:F26"/>
  <sheetViews>
    <sheetView showGridLines="0" tabSelected="1" workbookViewId="0">
      <selection activeCell="F12" sqref="F12"/>
    </sheetView>
  </sheetViews>
  <sheetFormatPr defaultRowHeight="15" x14ac:dyDescent="0.25"/>
  <cols>
    <col min="1" max="1" width="18.42578125" customWidth="1"/>
    <col min="2" max="2" width="22.5703125" bestFit="1" customWidth="1"/>
    <col min="3" max="3" width="7.5703125" bestFit="1" customWidth="1"/>
    <col min="4" max="4" width="9.28515625" bestFit="1" customWidth="1"/>
    <col min="5" max="5" width="17.28515625" bestFit="1" customWidth="1"/>
    <col min="6" max="6" width="23.140625" customWidth="1"/>
    <col min="7" max="7" width="14.85546875" bestFit="1" customWidth="1"/>
  </cols>
  <sheetData>
    <row r="1" spans="1:6" ht="18.75" x14ac:dyDescent="0.25">
      <c r="A1" s="31" t="s">
        <v>249</v>
      </c>
      <c r="B1" s="32"/>
      <c r="C1" s="32"/>
      <c r="D1" s="32"/>
      <c r="E1" s="32"/>
      <c r="F1" s="33"/>
    </row>
    <row r="2" spans="1:6" x14ac:dyDescent="0.25">
      <c r="A2" s="35" t="s">
        <v>258</v>
      </c>
      <c r="B2" s="35"/>
      <c r="C2" s="35"/>
      <c r="D2" s="35"/>
      <c r="E2" s="35"/>
      <c r="F2" s="35"/>
    </row>
    <row r="3" spans="1:6" x14ac:dyDescent="0.25">
      <c r="A3" s="35" t="s">
        <v>234</v>
      </c>
      <c r="B3" s="35"/>
      <c r="C3" s="35"/>
      <c r="D3" s="35"/>
      <c r="E3" s="36" t="s">
        <v>239</v>
      </c>
      <c r="F3" s="37">
        <f>IF(B4&lt;=1,"",VLOOKUP(B4,Clientes,5,0))</f>
        <v>33735</v>
      </c>
    </row>
    <row r="4" spans="1:6" ht="14.25" customHeight="1" x14ac:dyDescent="0.25">
      <c r="A4" s="36" t="s">
        <v>12</v>
      </c>
      <c r="B4" s="52">
        <v>16</v>
      </c>
      <c r="C4" s="52"/>
      <c r="D4" s="52"/>
      <c r="E4" s="36" t="s">
        <v>238</v>
      </c>
      <c r="F4" s="38" t="str">
        <f ca="1">IF(B4&lt;=1,"",DATEDIF(F3,TODAY(),"Y") &amp; " anos, " &amp; DATEDIF(F3,TODAY(),"YM") &amp; " meses e " &amp; DATEDIF(F3,TODAY(),"MD") &amp; " dias")</f>
        <v>34 anos, 4 meses e 4 dias</v>
      </c>
    </row>
    <row r="5" spans="1:6" x14ac:dyDescent="0.25">
      <c r="A5" s="36" t="s">
        <v>235</v>
      </c>
      <c r="B5" s="39"/>
      <c r="C5" s="39"/>
      <c r="D5" s="39"/>
      <c r="E5" s="36" t="s">
        <v>240</v>
      </c>
      <c r="F5" s="38">
        <f>IF(B4&lt;=1,"",(VLOOKUP(B4,Clientes,2,0)))</f>
        <v>46068</v>
      </c>
    </row>
    <row r="6" spans="1:6" x14ac:dyDescent="0.25">
      <c r="A6" s="36" t="s">
        <v>236</v>
      </c>
      <c r="B6" s="53" t="str">
        <f>VLOOKUP(B4,Clientes,4,0)</f>
        <v>556.677.889-90</v>
      </c>
      <c r="C6" s="53"/>
      <c r="D6" s="53"/>
      <c r="E6" s="36" t="s">
        <v>241</v>
      </c>
      <c r="F6" s="40" t="str">
        <f ca="1">IF(B4&lt;=1,"",DATEDIF(F5,TODAY(),"Y") &amp; " anos, " &amp; DATEDIF(F5,TODAY(),"YM") &amp; " meses e " &amp; DATEDIF(53,TODAY(),"MD") &amp; " dias")</f>
        <v>0 anos, 7 meses e 24 dias</v>
      </c>
    </row>
    <row r="7" spans="1:6" ht="29.25" customHeight="1" x14ac:dyDescent="0.25">
      <c r="A7" s="41" t="s">
        <v>90</v>
      </c>
      <c r="B7" s="54" t="str">
        <f>VLOOKUP(B4,Clientes,7,0)</f>
        <v>Av. dos Holandeses, 10</v>
      </c>
      <c r="C7" s="54"/>
      <c r="D7" s="54"/>
      <c r="E7" s="41" t="s">
        <v>255</v>
      </c>
      <c r="F7" s="42" t="str">
        <f ca="1">IF(OR(B4&lt;=1,B4&gt;21),"",IF(DATEDIF(F5,TODAY(),"y")&lt;=5,"COMUM","VIP"))</f>
        <v>COMUM</v>
      </c>
    </row>
    <row r="8" spans="1:6" x14ac:dyDescent="0.25">
      <c r="A8" s="36" t="s">
        <v>91</v>
      </c>
      <c r="B8" s="53" t="str">
        <f>VLOOKUP(B4,Clientes,8,0)</f>
        <v>Calhau</v>
      </c>
      <c r="C8" s="53"/>
      <c r="D8" s="53"/>
      <c r="E8" s="36" t="s">
        <v>256</v>
      </c>
      <c r="F8" s="36" t="s">
        <v>257</v>
      </c>
    </row>
    <row r="9" spans="1:6" x14ac:dyDescent="0.25">
      <c r="A9" s="36" t="s">
        <v>92</v>
      </c>
      <c r="B9" s="53" t="str">
        <f>VLOOKUP(B4,Clientes,9,0)</f>
        <v>São Luís</v>
      </c>
      <c r="C9" s="53"/>
      <c r="D9" s="53"/>
      <c r="E9" s="40">
        <v>3</v>
      </c>
      <c r="F9" s="40"/>
    </row>
    <row r="10" spans="1:6" x14ac:dyDescent="0.25">
      <c r="A10" s="36" t="s">
        <v>93</v>
      </c>
      <c r="B10" s="53" t="str">
        <f>VLOOKUP(B4,Clientes,10,0)</f>
        <v>MA</v>
      </c>
      <c r="C10" s="53"/>
      <c r="D10" s="53"/>
      <c r="E10" s="40"/>
      <c r="F10" s="40"/>
    </row>
    <row r="11" spans="1:6" ht="18.75" x14ac:dyDescent="0.3">
      <c r="A11" s="30" t="s">
        <v>242</v>
      </c>
      <c r="B11" s="30"/>
      <c r="C11" s="30"/>
      <c r="D11" s="30"/>
      <c r="E11" s="30"/>
      <c r="F11" s="30"/>
    </row>
    <row r="12" spans="1:6" ht="30" x14ac:dyDescent="0.25">
      <c r="A12" s="43" t="s">
        <v>243</v>
      </c>
      <c r="B12" s="44" t="s">
        <v>244</v>
      </c>
      <c r="C12" s="41" t="s">
        <v>245</v>
      </c>
      <c r="D12" s="41" t="s">
        <v>246</v>
      </c>
      <c r="E12" s="41" t="s">
        <v>247</v>
      </c>
      <c r="F12" s="41" t="s">
        <v>248</v>
      </c>
    </row>
    <row r="13" spans="1:6" x14ac:dyDescent="0.25">
      <c r="A13" s="45">
        <v>2</v>
      </c>
      <c r="B13" s="40"/>
      <c r="C13" s="45">
        <v>1</v>
      </c>
      <c r="D13" s="40" t="s">
        <v>250</v>
      </c>
      <c r="E13" s="46">
        <f>IF(OR(A13&lt;=1,A13&gt;11),0,VLOOKUP(A13,Serviços,3,0))</f>
        <v>80</v>
      </c>
      <c r="F13" s="47">
        <f>IF(C13&lt;1,"",E13*C13)</f>
        <v>80</v>
      </c>
    </row>
    <row r="14" spans="1:6" x14ac:dyDescent="0.25">
      <c r="A14" s="45">
        <v>2</v>
      </c>
      <c r="B14" s="40"/>
      <c r="C14" s="45">
        <v>1</v>
      </c>
      <c r="D14" s="40" t="s">
        <v>250</v>
      </c>
      <c r="E14" s="47">
        <f t="shared" ref="E14:E21" si="0">IF(A14&lt;=1,"",VLOOKUP(A14,Serviços,3,0))</f>
        <v>80</v>
      </c>
      <c r="F14" s="47">
        <f>IF(C14&lt;1,"",E14*C14)</f>
        <v>80</v>
      </c>
    </row>
    <row r="15" spans="1:6" x14ac:dyDescent="0.25">
      <c r="A15" s="45">
        <v>3</v>
      </c>
      <c r="B15" s="40"/>
      <c r="C15" s="45">
        <v>1</v>
      </c>
      <c r="D15" s="40" t="s">
        <v>250</v>
      </c>
      <c r="E15" s="47">
        <f t="shared" si="0"/>
        <v>100</v>
      </c>
      <c r="F15" s="47">
        <f t="shared" ref="F15:F22" si="1">IF(A15&lt;=1,"",E15*C15)</f>
        <v>100</v>
      </c>
    </row>
    <row r="16" spans="1:6" x14ac:dyDescent="0.25">
      <c r="A16" s="45">
        <v>4</v>
      </c>
      <c r="B16" s="40"/>
      <c r="C16" s="45">
        <v>1</v>
      </c>
      <c r="D16" s="40" t="s">
        <v>250</v>
      </c>
      <c r="E16" s="47">
        <f t="shared" si="0"/>
        <v>60</v>
      </c>
      <c r="F16" s="47">
        <f t="shared" si="1"/>
        <v>60</v>
      </c>
    </row>
    <row r="17" spans="1:6" x14ac:dyDescent="0.25">
      <c r="A17" s="45">
        <v>5</v>
      </c>
      <c r="B17" s="40"/>
      <c r="C17" s="45">
        <v>1</v>
      </c>
      <c r="D17" s="40" t="s">
        <v>250</v>
      </c>
      <c r="E17" s="47">
        <f t="shared" si="0"/>
        <v>120</v>
      </c>
      <c r="F17" s="47">
        <f t="shared" si="1"/>
        <v>120</v>
      </c>
    </row>
    <row r="18" spans="1:6" x14ac:dyDescent="0.25">
      <c r="A18" s="45">
        <v>6</v>
      </c>
      <c r="B18" s="40"/>
      <c r="C18" s="45">
        <v>1</v>
      </c>
      <c r="D18" s="40" t="s">
        <v>250</v>
      </c>
      <c r="E18" s="47">
        <f t="shared" si="0"/>
        <v>90</v>
      </c>
      <c r="F18" s="47">
        <f t="shared" si="1"/>
        <v>90</v>
      </c>
    </row>
    <row r="19" spans="1:6" x14ac:dyDescent="0.25">
      <c r="A19" s="45">
        <v>7</v>
      </c>
      <c r="B19" s="40"/>
      <c r="C19" s="45">
        <v>1</v>
      </c>
      <c r="D19" s="40" t="s">
        <v>250</v>
      </c>
      <c r="E19" s="47">
        <f t="shared" si="0"/>
        <v>100</v>
      </c>
      <c r="F19" s="47">
        <f t="shared" si="1"/>
        <v>100</v>
      </c>
    </row>
    <row r="20" spans="1:6" x14ac:dyDescent="0.25">
      <c r="A20" s="45">
        <v>8</v>
      </c>
      <c r="B20" s="40"/>
      <c r="C20" s="45">
        <v>1</v>
      </c>
      <c r="D20" s="40" t="s">
        <v>250</v>
      </c>
      <c r="E20" s="47">
        <f t="shared" si="0"/>
        <v>70</v>
      </c>
      <c r="F20" s="47">
        <f t="shared" si="1"/>
        <v>70</v>
      </c>
    </row>
    <row r="21" spans="1:6" x14ac:dyDescent="0.25">
      <c r="A21" s="45">
        <v>9</v>
      </c>
      <c r="B21" s="40"/>
      <c r="C21" s="45">
        <v>1</v>
      </c>
      <c r="D21" s="40" t="s">
        <v>250</v>
      </c>
      <c r="E21" s="47">
        <f t="shared" si="0"/>
        <v>80</v>
      </c>
      <c r="F21" s="47">
        <f t="shared" si="1"/>
        <v>80</v>
      </c>
    </row>
    <row r="22" spans="1:6" x14ac:dyDescent="0.25">
      <c r="A22" s="45">
        <v>10</v>
      </c>
      <c r="B22" s="40"/>
      <c r="C22" s="45">
        <v>1</v>
      </c>
      <c r="D22" s="40" t="s">
        <v>250</v>
      </c>
      <c r="E22" s="47">
        <f>IF(A22&lt;=1,"",VLOOKUP(A22,Serviços,3,0))</f>
        <v>70</v>
      </c>
      <c r="F22" s="47">
        <f t="shared" si="1"/>
        <v>70</v>
      </c>
    </row>
    <row r="23" spans="1:6" x14ac:dyDescent="0.25">
      <c r="A23" s="40"/>
      <c r="B23" s="40"/>
      <c r="C23" s="40"/>
      <c r="D23" s="36" t="s">
        <v>251</v>
      </c>
      <c r="E23" s="48">
        <f>SUM(E13:E22)</f>
        <v>850</v>
      </c>
      <c r="F23" s="40"/>
    </row>
    <row r="24" spans="1:6" x14ac:dyDescent="0.25">
      <c r="A24" s="40"/>
      <c r="B24" s="40"/>
      <c r="C24" s="40"/>
      <c r="D24" s="36" t="s">
        <v>253</v>
      </c>
      <c r="E24" s="49">
        <v>0.05</v>
      </c>
      <c r="F24" s="50">
        <f>(E23*E24)</f>
        <v>42.5</v>
      </c>
    </row>
    <row r="25" spans="1:6" x14ac:dyDescent="0.25">
      <c r="A25" s="40"/>
      <c r="B25" s="40"/>
      <c r="C25" s="40"/>
      <c r="D25" s="36" t="s">
        <v>254</v>
      </c>
      <c r="E25" s="49">
        <v>8.5000000000000006E-2</v>
      </c>
      <c r="F25" s="50">
        <f>(E23-E24)*E25</f>
        <v>72.245750000000015</v>
      </c>
    </row>
    <row r="26" spans="1:6" x14ac:dyDescent="0.25">
      <c r="A26" s="40"/>
      <c r="B26" s="40"/>
      <c r="C26" s="40"/>
      <c r="D26" s="34"/>
      <c r="E26" s="36" t="s">
        <v>252</v>
      </c>
      <c r="F26" s="51">
        <f>SUM(F13:F22)-SUM(F24:F25)</f>
        <v>735.25424999999996</v>
      </c>
    </row>
  </sheetData>
  <mergeCells count="5">
    <mergeCell ref="A11:F11"/>
    <mergeCell ref="A1:F1"/>
    <mergeCell ref="A3:D3"/>
    <mergeCell ref="B5:D5"/>
    <mergeCell ref="A2:F2"/>
  </mergeCells>
  <conditionalFormatting sqref="F3">
    <cfRule type="expression" dxfId="0" priority="1">
      <formula>WEEKDAY(H3) -1</formula>
    </cfRule>
  </conditionalFormatting>
  <pageMargins left="0.19685039370078741" right="0.19685039370078741" top="0.78740157480314965" bottom="0.78740157480314965" header="0.39370078740157483" footer="0.31496062992125984"/>
  <pageSetup paperSize="9" orientation="portrait" r:id="rId1"/>
  <headerFooter>
    <oddHeader>&amp;L&amp;Z&amp;F
&amp;R&amp;T
&amp;D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4" name="Drop Down 4">
              <controlPr defaultSize="0" autoLine="0" autoPict="0">
                <anchor moveWithCells="1">
                  <from>
                    <xdr:col>1</xdr:col>
                    <xdr:colOff>0</xdr:colOff>
                    <xdr:row>12</xdr:row>
                    <xdr:rowOff>9525</xdr:rowOff>
                  </from>
                  <to>
                    <xdr:col>2</xdr:col>
                    <xdr:colOff>276225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5" name="Drop Down 5">
              <controlPr defaultSize="0" autoLine="0" autoPict="0">
                <anchor moveWithCells="1">
                  <from>
                    <xdr:col>1</xdr:col>
                    <xdr:colOff>0</xdr:colOff>
                    <xdr:row>13</xdr:row>
                    <xdr:rowOff>9525</xdr:rowOff>
                  </from>
                  <to>
                    <xdr:col>2</xdr:col>
                    <xdr:colOff>276225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6" name="Drop Down 6">
              <controlPr defaultSize="0" autoLine="0" autoPict="0">
                <anchor moveWithCells="1">
                  <from>
                    <xdr:col>1</xdr:col>
                    <xdr:colOff>0</xdr:colOff>
                    <xdr:row>14</xdr:row>
                    <xdr:rowOff>9525</xdr:rowOff>
                  </from>
                  <to>
                    <xdr:col>2</xdr:col>
                    <xdr:colOff>276225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7" name="Drop Down 7">
              <controlPr defaultSize="0" autoLine="0" autoPict="0">
                <anchor moveWithCells="1">
                  <from>
                    <xdr:col>1</xdr:col>
                    <xdr:colOff>0</xdr:colOff>
                    <xdr:row>15</xdr:row>
                    <xdr:rowOff>9525</xdr:rowOff>
                  </from>
                  <to>
                    <xdr:col>2</xdr:col>
                    <xdr:colOff>276225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8" name="Drop Down 8">
              <controlPr defaultSize="0" autoLine="0" autoPict="0">
                <anchor moveWithCells="1">
                  <from>
                    <xdr:col>1</xdr:col>
                    <xdr:colOff>0</xdr:colOff>
                    <xdr:row>16</xdr:row>
                    <xdr:rowOff>9525</xdr:rowOff>
                  </from>
                  <to>
                    <xdr:col>2</xdr:col>
                    <xdr:colOff>276225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9" name="Drop Down 9">
              <controlPr defaultSize="0" autoLine="0" autoPict="0">
                <anchor moveWithCells="1">
                  <from>
                    <xdr:col>1</xdr:col>
                    <xdr:colOff>0</xdr:colOff>
                    <xdr:row>17</xdr:row>
                    <xdr:rowOff>9525</xdr:rowOff>
                  </from>
                  <to>
                    <xdr:col>2</xdr:col>
                    <xdr:colOff>276225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0" name="Drop Down 10">
              <controlPr defaultSize="0" autoLine="0" autoPict="0">
                <anchor moveWithCells="1">
                  <from>
                    <xdr:col>1</xdr:col>
                    <xdr:colOff>0</xdr:colOff>
                    <xdr:row>18</xdr:row>
                    <xdr:rowOff>9525</xdr:rowOff>
                  </from>
                  <to>
                    <xdr:col>2</xdr:col>
                    <xdr:colOff>276225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1" name="Drop Down 11">
              <controlPr defaultSize="0" autoLine="0" autoPict="0">
                <anchor moveWithCells="1">
                  <from>
                    <xdr:col>1</xdr:col>
                    <xdr:colOff>0</xdr:colOff>
                    <xdr:row>19</xdr:row>
                    <xdr:rowOff>9525</xdr:rowOff>
                  </from>
                  <to>
                    <xdr:col>2</xdr:col>
                    <xdr:colOff>276225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2" name="Drop Down 12">
              <controlPr defaultSize="0" autoLine="0" autoPict="0">
                <anchor moveWithCells="1">
                  <from>
                    <xdr:col>1</xdr:col>
                    <xdr:colOff>0</xdr:colOff>
                    <xdr:row>20</xdr:row>
                    <xdr:rowOff>9525</xdr:rowOff>
                  </from>
                  <to>
                    <xdr:col>2</xdr:col>
                    <xdr:colOff>276225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3" name="Drop Down 13">
              <controlPr defaultSize="0" autoLine="0" autoPict="0">
                <anchor moveWithCells="1">
                  <from>
                    <xdr:col>1</xdr:col>
                    <xdr:colOff>0</xdr:colOff>
                    <xdr:row>21</xdr:row>
                    <xdr:rowOff>9525</xdr:rowOff>
                  </from>
                  <to>
                    <xdr:col>2</xdr:col>
                    <xdr:colOff>276225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14" name="Drop Down 3">
              <controlPr defaultSize="0" autoLine="0" autoPict="0">
                <anchor moveWithCells="1">
                  <from>
                    <xdr:col>1</xdr:col>
                    <xdr:colOff>609600</xdr:colOff>
                    <xdr:row>4</xdr:row>
                    <xdr:rowOff>19050</xdr:rowOff>
                  </from>
                  <to>
                    <xdr:col>3</xdr:col>
                    <xdr:colOff>390525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5" name="Drop Down 15">
              <controlPr defaultSize="0" autoLine="0" autoPict="0">
                <anchor moveWithCells="1">
                  <from>
                    <xdr:col>5</xdr:col>
                    <xdr:colOff>9525</xdr:colOff>
                    <xdr:row>8</xdr:row>
                    <xdr:rowOff>9525</xdr:rowOff>
                  </from>
                  <to>
                    <xdr:col>5</xdr:col>
                    <xdr:colOff>1533525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75D8-DA77-44BB-A97E-101252095A17}">
  <dimension ref="A1:J22"/>
  <sheetViews>
    <sheetView workbookViewId="0">
      <selection activeCell="B7" sqref="B7"/>
    </sheetView>
  </sheetViews>
  <sheetFormatPr defaultRowHeight="15" x14ac:dyDescent="0.25"/>
  <cols>
    <col min="2" max="2" width="16.7109375" bestFit="1" customWidth="1"/>
    <col min="3" max="3" width="23.85546875" bestFit="1" customWidth="1"/>
    <col min="4" max="4" width="13.85546875" bestFit="1" customWidth="1"/>
    <col min="5" max="5" width="13.85546875" customWidth="1"/>
    <col min="6" max="6" width="14.42578125" bestFit="1" customWidth="1"/>
    <col min="7" max="7" width="36.5703125" bestFit="1" customWidth="1"/>
    <col min="8" max="8" width="24.28515625" bestFit="1" customWidth="1"/>
    <col min="9" max="9" width="13.5703125" bestFit="1" customWidth="1"/>
    <col min="10" max="10" width="6.85546875" bestFit="1" customWidth="1"/>
  </cols>
  <sheetData>
    <row r="1" spans="1:10" ht="17.25" customHeight="1" x14ac:dyDescent="0.25">
      <c r="A1" s="10" t="s">
        <v>12</v>
      </c>
      <c r="B1" s="11" t="s">
        <v>86</v>
      </c>
      <c r="C1" s="11" t="s">
        <v>87</v>
      </c>
      <c r="D1" s="11" t="s">
        <v>88</v>
      </c>
      <c r="E1" s="11" t="s">
        <v>237</v>
      </c>
      <c r="F1" s="11" t="s">
        <v>89</v>
      </c>
      <c r="G1" s="11" t="s">
        <v>90</v>
      </c>
      <c r="H1" s="11" t="s">
        <v>91</v>
      </c>
      <c r="I1" s="11" t="s">
        <v>92</v>
      </c>
      <c r="J1" s="11" t="s">
        <v>93</v>
      </c>
    </row>
    <row r="2" spans="1:10" ht="17.25" customHeight="1" x14ac:dyDescent="0.25">
      <c r="A2" s="16">
        <v>1</v>
      </c>
      <c r="B2" s="15"/>
      <c r="C2" s="15"/>
      <c r="D2" s="15"/>
      <c r="E2" s="15"/>
      <c r="F2" s="15"/>
      <c r="G2" s="15"/>
      <c r="H2" s="15"/>
      <c r="I2" s="15"/>
      <c r="J2" s="27"/>
    </row>
    <row r="3" spans="1:10" ht="15" customHeight="1" x14ac:dyDescent="0.25">
      <c r="A3" s="12">
        <v>2</v>
      </c>
      <c r="B3" s="13">
        <v>43467</v>
      </c>
      <c r="C3" s="14" t="s">
        <v>94</v>
      </c>
      <c r="D3" s="14" t="s">
        <v>95</v>
      </c>
      <c r="E3" s="13">
        <v>28611</v>
      </c>
      <c r="F3" s="14" t="s">
        <v>96</v>
      </c>
      <c r="G3" s="14" t="s">
        <v>97</v>
      </c>
      <c r="H3" s="14" t="s">
        <v>98</v>
      </c>
      <c r="I3" s="14" t="s">
        <v>99</v>
      </c>
      <c r="J3" s="14" t="s">
        <v>100</v>
      </c>
    </row>
    <row r="4" spans="1:10" x14ac:dyDescent="0.25">
      <c r="A4" s="16">
        <v>3</v>
      </c>
      <c r="B4" s="8">
        <v>40183</v>
      </c>
      <c r="C4" s="9" t="s">
        <v>101</v>
      </c>
      <c r="D4" s="9" t="s">
        <v>102</v>
      </c>
      <c r="E4" s="13">
        <v>28977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</row>
    <row r="5" spans="1:10" x14ac:dyDescent="0.25">
      <c r="A5" s="12">
        <v>4</v>
      </c>
      <c r="B5" s="8">
        <v>42014</v>
      </c>
      <c r="C5" s="9" t="s">
        <v>108</v>
      </c>
      <c r="D5" s="9" t="s">
        <v>109</v>
      </c>
      <c r="E5" s="13">
        <v>29343</v>
      </c>
      <c r="F5" s="9" t="s">
        <v>110</v>
      </c>
      <c r="G5" s="9" t="s">
        <v>111</v>
      </c>
      <c r="H5" s="9" t="s">
        <v>112</v>
      </c>
      <c r="I5" s="9" t="s">
        <v>113</v>
      </c>
      <c r="J5" s="9" t="s">
        <v>114</v>
      </c>
    </row>
    <row r="6" spans="1:10" x14ac:dyDescent="0.25">
      <c r="A6" s="16">
        <v>5</v>
      </c>
      <c r="B6" s="8">
        <v>38364</v>
      </c>
      <c r="C6" s="9" t="s">
        <v>115</v>
      </c>
      <c r="D6" s="9" t="s">
        <v>116</v>
      </c>
      <c r="E6" s="13">
        <v>29709</v>
      </c>
      <c r="F6" s="9" t="s">
        <v>117</v>
      </c>
      <c r="G6" s="9" t="s">
        <v>118</v>
      </c>
      <c r="H6" s="9" t="s">
        <v>119</v>
      </c>
      <c r="I6" s="9" t="s">
        <v>120</v>
      </c>
      <c r="J6" s="9" t="s">
        <v>121</v>
      </c>
    </row>
    <row r="7" spans="1:10" x14ac:dyDescent="0.25">
      <c r="A7" s="12">
        <v>6</v>
      </c>
      <c r="B7" s="8">
        <v>46037</v>
      </c>
      <c r="C7" s="9" t="s">
        <v>122</v>
      </c>
      <c r="D7" s="9" t="s">
        <v>123</v>
      </c>
      <c r="E7" s="13">
        <v>30075</v>
      </c>
      <c r="F7" s="9" t="s">
        <v>124</v>
      </c>
      <c r="G7" s="9" t="s">
        <v>125</v>
      </c>
      <c r="H7" s="9" t="s">
        <v>126</v>
      </c>
      <c r="I7" s="9" t="s">
        <v>127</v>
      </c>
      <c r="J7" s="9" t="s">
        <v>128</v>
      </c>
    </row>
    <row r="8" spans="1:10" x14ac:dyDescent="0.25">
      <c r="A8" s="16">
        <v>7</v>
      </c>
      <c r="B8" s="8">
        <v>46040</v>
      </c>
      <c r="C8" s="9" t="s">
        <v>129</v>
      </c>
      <c r="D8" s="9" t="s">
        <v>130</v>
      </c>
      <c r="E8" s="13">
        <v>30441</v>
      </c>
      <c r="F8" s="9" t="s">
        <v>131</v>
      </c>
      <c r="G8" s="9" t="s">
        <v>132</v>
      </c>
      <c r="H8" s="9" t="s">
        <v>133</v>
      </c>
      <c r="I8" s="9" t="s">
        <v>134</v>
      </c>
      <c r="J8" s="9" t="s">
        <v>135</v>
      </c>
    </row>
    <row r="9" spans="1:10" x14ac:dyDescent="0.25">
      <c r="A9" s="12">
        <v>8</v>
      </c>
      <c r="B9" s="8">
        <v>46044</v>
      </c>
      <c r="C9" s="9" t="s">
        <v>136</v>
      </c>
      <c r="D9" s="9" t="s">
        <v>137</v>
      </c>
      <c r="E9" s="13">
        <v>30807</v>
      </c>
      <c r="F9" s="9" t="s">
        <v>138</v>
      </c>
      <c r="G9" s="9" t="s">
        <v>139</v>
      </c>
      <c r="H9" s="9" t="s">
        <v>140</v>
      </c>
      <c r="I9" s="9" t="s">
        <v>141</v>
      </c>
      <c r="J9" s="9" t="s">
        <v>142</v>
      </c>
    </row>
    <row r="10" spans="1:10" x14ac:dyDescent="0.25">
      <c r="A10" s="16">
        <v>9</v>
      </c>
      <c r="B10" s="8">
        <v>46047</v>
      </c>
      <c r="C10" s="9" t="s">
        <v>143</v>
      </c>
      <c r="D10" s="9" t="s">
        <v>144</v>
      </c>
      <c r="E10" s="13">
        <v>31173</v>
      </c>
      <c r="F10" s="9" t="s">
        <v>145</v>
      </c>
      <c r="G10" s="9" t="s">
        <v>146</v>
      </c>
      <c r="H10" s="9" t="s">
        <v>147</v>
      </c>
      <c r="I10" s="9" t="s">
        <v>148</v>
      </c>
      <c r="J10" s="9" t="s">
        <v>149</v>
      </c>
    </row>
    <row r="11" spans="1:10" x14ac:dyDescent="0.25">
      <c r="A11" s="12">
        <v>10</v>
      </c>
      <c r="B11" s="8">
        <v>46050</v>
      </c>
      <c r="C11" s="9" t="s">
        <v>150</v>
      </c>
      <c r="D11" s="9" t="s">
        <v>151</v>
      </c>
      <c r="E11" s="13">
        <v>31539</v>
      </c>
      <c r="F11" s="9" t="s">
        <v>152</v>
      </c>
      <c r="G11" s="9" t="s">
        <v>153</v>
      </c>
      <c r="H11" s="9" t="s">
        <v>154</v>
      </c>
      <c r="I11" s="9" t="s">
        <v>155</v>
      </c>
      <c r="J11" s="9" t="s">
        <v>156</v>
      </c>
    </row>
    <row r="12" spans="1:10" x14ac:dyDescent="0.25">
      <c r="A12" s="16">
        <v>11</v>
      </c>
      <c r="B12" s="8">
        <v>46054</v>
      </c>
      <c r="C12" s="9" t="s">
        <v>157</v>
      </c>
      <c r="D12" s="9" t="s">
        <v>158</v>
      </c>
      <c r="E12" s="13">
        <v>31905</v>
      </c>
      <c r="F12" s="9" t="s">
        <v>159</v>
      </c>
      <c r="G12" s="9" t="s">
        <v>160</v>
      </c>
      <c r="H12" s="9" t="s">
        <v>161</v>
      </c>
      <c r="I12" s="9" t="s">
        <v>162</v>
      </c>
      <c r="J12" s="9" t="s">
        <v>163</v>
      </c>
    </row>
    <row r="13" spans="1:10" x14ac:dyDescent="0.25">
      <c r="A13" s="12">
        <v>12</v>
      </c>
      <c r="B13" s="8">
        <v>46056</v>
      </c>
      <c r="C13" s="9" t="s">
        <v>164</v>
      </c>
      <c r="D13" s="9" t="s">
        <v>165</v>
      </c>
      <c r="E13" s="13">
        <v>32271</v>
      </c>
      <c r="F13" s="9" t="s">
        <v>166</v>
      </c>
      <c r="G13" s="9" t="s">
        <v>167</v>
      </c>
      <c r="H13" s="9" t="s">
        <v>168</v>
      </c>
      <c r="I13" s="9" t="s">
        <v>169</v>
      </c>
      <c r="J13" s="9" t="s">
        <v>170</v>
      </c>
    </row>
    <row r="14" spans="1:10" x14ac:dyDescent="0.25">
      <c r="A14" s="16">
        <v>13</v>
      </c>
      <c r="B14" s="8">
        <v>46059</v>
      </c>
      <c r="C14" s="9" t="s">
        <v>171</v>
      </c>
      <c r="D14" s="9" t="s">
        <v>172</v>
      </c>
      <c r="E14" s="13">
        <v>32637</v>
      </c>
      <c r="F14" s="9" t="s">
        <v>173</v>
      </c>
      <c r="G14" s="9" t="s">
        <v>174</v>
      </c>
      <c r="H14" s="9" t="s">
        <v>175</v>
      </c>
      <c r="I14" s="9" t="s">
        <v>176</v>
      </c>
      <c r="J14" s="9" t="s">
        <v>177</v>
      </c>
    </row>
    <row r="15" spans="1:10" x14ac:dyDescent="0.25">
      <c r="A15" s="12">
        <v>14</v>
      </c>
      <c r="B15" s="8">
        <v>46063</v>
      </c>
      <c r="C15" s="9" t="s">
        <v>178</v>
      </c>
      <c r="D15" s="9" t="s">
        <v>179</v>
      </c>
      <c r="E15" s="13">
        <v>33003</v>
      </c>
      <c r="F15" s="9" t="s">
        <v>180</v>
      </c>
      <c r="G15" s="9" t="s">
        <v>181</v>
      </c>
      <c r="H15" s="9" t="s">
        <v>182</v>
      </c>
      <c r="I15" s="9" t="s">
        <v>183</v>
      </c>
      <c r="J15" s="9" t="s">
        <v>184</v>
      </c>
    </row>
    <row r="16" spans="1:10" x14ac:dyDescent="0.25">
      <c r="A16" s="16">
        <v>15</v>
      </c>
      <c r="B16" s="8">
        <v>46065</v>
      </c>
      <c r="C16" s="9" t="s">
        <v>185</v>
      </c>
      <c r="D16" s="9" t="s">
        <v>186</v>
      </c>
      <c r="E16" s="13">
        <v>33369</v>
      </c>
      <c r="F16" s="9" t="s">
        <v>187</v>
      </c>
      <c r="G16" s="9" t="s">
        <v>188</v>
      </c>
      <c r="H16" s="9" t="s">
        <v>189</v>
      </c>
      <c r="I16" s="9" t="s">
        <v>190</v>
      </c>
      <c r="J16" s="9" t="s">
        <v>191</v>
      </c>
    </row>
    <row r="17" spans="1:10" x14ac:dyDescent="0.25">
      <c r="A17" s="12">
        <v>16</v>
      </c>
      <c r="B17" s="8">
        <v>46068</v>
      </c>
      <c r="C17" s="9" t="s">
        <v>192</v>
      </c>
      <c r="D17" s="9" t="s">
        <v>193</v>
      </c>
      <c r="E17" s="13">
        <v>33735</v>
      </c>
      <c r="F17" s="9" t="s">
        <v>194</v>
      </c>
      <c r="G17" s="9" t="s">
        <v>195</v>
      </c>
      <c r="H17" s="9" t="s">
        <v>196</v>
      </c>
      <c r="I17" s="9" t="s">
        <v>197</v>
      </c>
      <c r="J17" s="9" t="s">
        <v>198</v>
      </c>
    </row>
    <row r="18" spans="1:10" x14ac:dyDescent="0.25">
      <c r="A18" s="16">
        <v>17</v>
      </c>
      <c r="B18" s="8">
        <v>46071</v>
      </c>
      <c r="C18" s="9" t="s">
        <v>199</v>
      </c>
      <c r="D18" s="9" t="s">
        <v>200</v>
      </c>
      <c r="E18" s="13">
        <v>34101</v>
      </c>
      <c r="F18" s="9" t="s">
        <v>201</v>
      </c>
      <c r="G18" s="9" t="s">
        <v>202</v>
      </c>
      <c r="H18" s="9" t="s">
        <v>203</v>
      </c>
      <c r="I18" s="9" t="s">
        <v>204</v>
      </c>
      <c r="J18" s="9" t="s">
        <v>205</v>
      </c>
    </row>
    <row r="19" spans="1:10" x14ac:dyDescent="0.25">
      <c r="A19" s="12">
        <v>18</v>
      </c>
      <c r="B19" s="8">
        <v>46073</v>
      </c>
      <c r="C19" s="9" t="s">
        <v>206</v>
      </c>
      <c r="D19" s="9" t="s">
        <v>207</v>
      </c>
      <c r="E19" s="13">
        <v>34467</v>
      </c>
      <c r="F19" s="9" t="s">
        <v>208</v>
      </c>
      <c r="G19" s="9" t="s">
        <v>209</v>
      </c>
      <c r="H19" s="9" t="s">
        <v>210</v>
      </c>
      <c r="I19" s="9" t="s">
        <v>211</v>
      </c>
      <c r="J19" s="9" t="s">
        <v>212</v>
      </c>
    </row>
    <row r="20" spans="1:10" x14ac:dyDescent="0.25">
      <c r="A20" s="16">
        <v>19</v>
      </c>
      <c r="B20" s="8">
        <v>46075</v>
      </c>
      <c r="C20" s="9" t="s">
        <v>213</v>
      </c>
      <c r="D20" s="9" t="s">
        <v>214</v>
      </c>
      <c r="E20" s="13">
        <v>34833</v>
      </c>
      <c r="F20" s="9" t="s">
        <v>215</v>
      </c>
      <c r="G20" s="9" t="s">
        <v>216</v>
      </c>
      <c r="H20" s="9" t="s">
        <v>217</v>
      </c>
      <c r="I20" s="9" t="s">
        <v>218</v>
      </c>
      <c r="J20" s="9" t="s">
        <v>219</v>
      </c>
    </row>
    <row r="21" spans="1:10" ht="15" customHeight="1" x14ac:dyDescent="0.25">
      <c r="A21" s="12">
        <v>20</v>
      </c>
      <c r="B21" s="8">
        <v>46078</v>
      </c>
      <c r="C21" s="9" t="s">
        <v>220</v>
      </c>
      <c r="D21" s="9" t="s">
        <v>221</v>
      </c>
      <c r="E21" s="13">
        <v>35199</v>
      </c>
      <c r="F21" s="9" t="s">
        <v>222</v>
      </c>
      <c r="G21" s="9" t="s">
        <v>223</v>
      </c>
      <c r="H21" s="9" t="s">
        <v>224</v>
      </c>
      <c r="I21" s="9" t="s">
        <v>225</v>
      </c>
      <c r="J21" s="9" t="s">
        <v>226</v>
      </c>
    </row>
    <row r="22" spans="1:10" x14ac:dyDescent="0.25">
      <c r="A22" s="16">
        <v>21</v>
      </c>
      <c r="B22" s="8">
        <v>46081</v>
      </c>
      <c r="C22" s="9" t="s">
        <v>227</v>
      </c>
      <c r="D22" s="9" t="s">
        <v>228</v>
      </c>
      <c r="E22" s="13">
        <v>35565</v>
      </c>
      <c r="F22" s="9" t="s">
        <v>229</v>
      </c>
      <c r="G22" s="9" t="s">
        <v>230</v>
      </c>
      <c r="H22" s="9" t="s">
        <v>231</v>
      </c>
      <c r="I22" s="9" t="s">
        <v>232</v>
      </c>
      <c r="J22" s="9" t="s">
        <v>233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C004-8958-49C3-B713-E2C4B745BFC9}">
  <dimension ref="A1:B14"/>
  <sheetViews>
    <sheetView workbookViewId="0">
      <selection activeCell="B3" sqref="B3"/>
    </sheetView>
  </sheetViews>
  <sheetFormatPr defaultRowHeight="15" x14ac:dyDescent="0.25"/>
  <cols>
    <col min="2" max="2" width="16.42578125" bestFit="1" customWidth="1"/>
  </cols>
  <sheetData>
    <row r="1" spans="1:2" x14ac:dyDescent="0.25">
      <c r="A1" s="26" t="s">
        <v>12</v>
      </c>
      <c r="B1" s="26" t="s">
        <v>13</v>
      </c>
    </row>
    <row r="2" spans="1:2" x14ac:dyDescent="0.25">
      <c r="A2" s="28"/>
      <c r="B2" s="29"/>
    </row>
    <row r="3" spans="1:2" x14ac:dyDescent="0.25">
      <c r="A3" s="20">
        <v>1</v>
      </c>
      <c r="B3" s="20" t="s">
        <v>14</v>
      </c>
    </row>
    <row r="4" spans="1:2" x14ac:dyDescent="0.25">
      <c r="A4" s="3">
        <v>2</v>
      </c>
      <c r="B4" s="3" t="s">
        <v>15</v>
      </c>
    </row>
    <row r="5" spans="1:2" x14ac:dyDescent="0.25">
      <c r="A5" s="3">
        <v>3</v>
      </c>
      <c r="B5" s="3" t="s">
        <v>16</v>
      </c>
    </row>
    <row r="6" spans="1:2" x14ac:dyDescent="0.25">
      <c r="A6" s="3">
        <v>4</v>
      </c>
      <c r="B6" s="3" t="s">
        <v>17</v>
      </c>
    </row>
    <row r="7" spans="1:2" x14ac:dyDescent="0.25">
      <c r="A7" s="3">
        <v>5</v>
      </c>
      <c r="B7" s="3" t="s">
        <v>18</v>
      </c>
    </row>
    <row r="8" spans="1:2" x14ac:dyDescent="0.25">
      <c r="A8" s="3">
        <v>6</v>
      </c>
      <c r="B8" s="3" t="s">
        <v>19</v>
      </c>
    </row>
    <row r="9" spans="1:2" x14ac:dyDescent="0.25">
      <c r="A9" s="3">
        <v>7</v>
      </c>
      <c r="B9" s="3" t="s">
        <v>20</v>
      </c>
    </row>
    <row r="10" spans="1:2" x14ac:dyDescent="0.25">
      <c r="A10" s="3">
        <v>8</v>
      </c>
      <c r="B10" s="3" t="s">
        <v>21</v>
      </c>
    </row>
    <row r="11" spans="1:2" x14ac:dyDescent="0.25">
      <c r="A11" s="3">
        <v>9</v>
      </c>
      <c r="B11" s="3" t="s">
        <v>22</v>
      </c>
    </row>
    <row r="12" spans="1:2" x14ac:dyDescent="0.25">
      <c r="A12" s="3">
        <v>10</v>
      </c>
      <c r="B12" s="3" t="s">
        <v>23</v>
      </c>
    </row>
    <row r="13" spans="1:2" x14ac:dyDescent="0.25">
      <c r="A13" s="3">
        <v>11</v>
      </c>
      <c r="B13" s="3" t="s">
        <v>24</v>
      </c>
    </row>
    <row r="14" spans="1:2" x14ac:dyDescent="0.25">
      <c r="A14" s="3">
        <v>12</v>
      </c>
      <c r="B14" s="3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pane ySplit="1" topLeftCell="A2" activePane="bottomLeft" state="frozen"/>
      <selection pane="bottomLeft" activeCell="A3" sqref="A3:C12"/>
    </sheetView>
  </sheetViews>
  <sheetFormatPr defaultRowHeight="15" x14ac:dyDescent="0.25"/>
  <cols>
    <col min="1" max="1" width="11.7109375" bestFit="1" customWidth="1"/>
    <col min="2" max="2" width="25.7109375" bestFit="1" customWidth="1"/>
    <col min="3" max="3" width="14.5703125" bestFit="1" customWidth="1"/>
  </cols>
  <sheetData>
    <row r="1" spans="1:9" x14ac:dyDescent="0.25">
      <c r="A1" s="2" t="s">
        <v>12</v>
      </c>
      <c r="B1" s="1" t="s">
        <v>0</v>
      </c>
      <c r="C1" s="1" t="s">
        <v>1</v>
      </c>
    </row>
    <row r="2" spans="1:9" x14ac:dyDescent="0.25">
      <c r="A2" s="22"/>
      <c r="B2" s="23"/>
      <c r="C2" s="24"/>
      <c r="D2" s="25"/>
      <c r="E2" s="25"/>
      <c r="F2" s="25"/>
      <c r="G2" s="25"/>
      <c r="H2" s="25"/>
      <c r="I2" s="25"/>
    </row>
    <row r="3" spans="1:9" x14ac:dyDescent="0.25">
      <c r="A3" s="3">
        <v>1</v>
      </c>
      <c r="B3" s="3" t="s">
        <v>2</v>
      </c>
      <c r="C3" s="4">
        <v>150</v>
      </c>
    </row>
    <row r="4" spans="1:9" x14ac:dyDescent="0.25">
      <c r="A4" s="3">
        <v>2</v>
      </c>
      <c r="B4" s="3" t="s">
        <v>3</v>
      </c>
      <c r="C4" s="4">
        <v>80</v>
      </c>
    </row>
    <row r="5" spans="1:9" x14ac:dyDescent="0.25">
      <c r="A5" s="3">
        <v>3</v>
      </c>
      <c r="B5" s="3" t="s">
        <v>4</v>
      </c>
      <c r="C5" s="4">
        <v>100</v>
      </c>
    </row>
    <row r="6" spans="1:9" x14ac:dyDescent="0.25">
      <c r="A6" s="3">
        <v>4</v>
      </c>
      <c r="B6" s="3" t="s">
        <v>5</v>
      </c>
      <c r="C6" s="4">
        <v>60</v>
      </c>
    </row>
    <row r="7" spans="1:9" x14ac:dyDescent="0.25">
      <c r="A7" s="3">
        <v>5</v>
      </c>
      <c r="B7" s="3" t="s">
        <v>6</v>
      </c>
      <c r="C7" s="4">
        <v>120</v>
      </c>
    </row>
    <row r="8" spans="1:9" x14ac:dyDescent="0.25">
      <c r="A8" s="3">
        <v>6</v>
      </c>
      <c r="B8" s="3" t="s">
        <v>7</v>
      </c>
      <c r="C8" s="4">
        <v>90</v>
      </c>
    </row>
    <row r="9" spans="1:9" x14ac:dyDescent="0.25">
      <c r="A9" s="3">
        <v>7</v>
      </c>
      <c r="B9" s="3" t="s">
        <v>8</v>
      </c>
      <c r="C9" s="4">
        <v>100</v>
      </c>
    </row>
    <row r="10" spans="1:9" x14ac:dyDescent="0.25">
      <c r="A10" s="3">
        <v>8</v>
      </c>
      <c r="B10" s="3" t="s">
        <v>9</v>
      </c>
      <c r="C10" s="4">
        <v>70</v>
      </c>
    </row>
    <row r="11" spans="1:9" x14ac:dyDescent="0.25">
      <c r="A11" s="3">
        <v>9</v>
      </c>
      <c r="B11" s="3" t="s">
        <v>10</v>
      </c>
      <c r="C11" s="4">
        <v>80</v>
      </c>
    </row>
    <row r="12" spans="1:9" x14ac:dyDescent="0.25">
      <c r="A12" s="3">
        <v>10</v>
      </c>
      <c r="B12" s="3" t="s">
        <v>11</v>
      </c>
      <c r="C12" s="4">
        <v>70</v>
      </c>
    </row>
  </sheetData>
  <autoFilter ref="A1:C12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6784-AD4D-4F57-BD95-E6CEA48F2370}">
  <dimension ref="A1:I17"/>
  <sheetViews>
    <sheetView workbookViewId="0">
      <selection activeCell="B27" sqref="B27"/>
    </sheetView>
  </sheetViews>
  <sheetFormatPr defaultRowHeight="15" x14ac:dyDescent="0.25"/>
  <cols>
    <col min="2" max="2" width="14.7109375" bestFit="1" customWidth="1"/>
    <col min="3" max="3" width="14.28515625" bestFit="1" customWidth="1"/>
    <col min="4" max="4" width="19" bestFit="1" customWidth="1"/>
    <col min="5" max="5" width="22" bestFit="1" customWidth="1"/>
    <col min="6" max="6" width="7.42578125" bestFit="1" customWidth="1"/>
    <col min="7" max="7" width="17.28515625" bestFit="1" customWidth="1"/>
    <col min="8" max="8" width="23.140625" bestFit="1" customWidth="1"/>
    <col min="9" max="9" width="12.7109375" customWidth="1"/>
  </cols>
  <sheetData>
    <row r="1" spans="1:9" ht="28.5" customHeight="1" x14ac:dyDescent="0.25">
      <c r="A1" s="10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8" t="s">
        <v>34</v>
      </c>
    </row>
    <row r="2" spans="1:9" x14ac:dyDescent="0.25">
      <c r="A2" s="22"/>
      <c r="B2" s="23"/>
      <c r="C2" s="23"/>
      <c r="D2" s="23"/>
      <c r="E2" s="23"/>
      <c r="F2" s="23"/>
      <c r="G2" s="23"/>
      <c r="H2" s="23"/>
      <c r="I2" s="24"/>
    </row>
    <row r="3" spans="1:9" x14ac:dyDescent="0.25">
      <c r="A3" s="12">
        <v>1</v>
      </c>
      <c r="B3" s="19">
        <v>45413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1">
        <f>365*2</f>
        <v>730</v>
      </c>
      <c r="I3" s="19">
        <f>B3+H3</f>
        <v>46143</v>
      </c>
    </row>
    <row r="4" spans="1:9" x14ac:dyDescent="0.25">
      <c r="A4" s="6">
        <v>2</v>
      </c>
      <c r="B4" s="7">
        <v>45453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5">
        <f t="shared" ref="H4:H17" si="0">365*2</f>
        <v>730</v>
      </c>
      <c r="I4" s="7">
        <f t="shared" ref="I4:I17" si="1">B4+H4</f>
        <v>46183</v>
      </c>
    </row>
    <row r="5" spans="1:9" x14ac:dyDescent="0.25">
      <c r="A5" s="6">
        <v>3</v>
      </c>
      <c r="B5" s="7">
        <v>45493</v>
      </c>
      <c r="C5" s="3" t="s">
        <v>45</v>
      </c>
      <c r="D5" s="3" t="s">
        <v>46</v>
      </c>
      <c r="E5" s="3" t="s">
        <v>37</v>
      </c>
      <c r="F5" s="3" t="s">
        <v>47</v>
      </c>
      <c r="G5" s="3" t="s">
        <v>48</v>
      </c>
      <c r="H5" s="5">
        <f t="shared" si="0"/>
        <v>730</v>
      </c>
      <c r="I5" s="7">
        <f t="shared" si="1"/>
        <v>46223</v>
      </c>
    </row>
    <row r="6" spans="1:9" x14ac:dyDescent="0.25">
      <c r="A6" s="6">
        <v>4</v>
      </c>
      <c r="B6" s="7">
        <v>45533</v>
      </c>
      <c r="C6" s="3" t="s">
        <v>49</v>
      </c>
      <c r="D6" s="3" t="s">
        <v>50</v>
      </c>
      <c r="E6" s="3" t="s">
        <v>42</v>
      </c>
      <c r="F6" s="3" t="s">
        <v>38</v>
      </c>
      <c r="G6" s="3" t="s">
        <v>51</v>
      </c>
      <c r="H6" s="5">
        <f t="shared" si="0"/>
        <v>730</v>
      </c>
      <c r="I6" s="7">
        <f t="shared" si="1"/>
        <v>46263</v>
      </c>
    </row>
    <row r="7" spans="1:9" x14ac:dyDescent="0.25">
      <c r="A7" s="6">
        <v>5</v>
      </c>
      <c r="B7" s="7">
        <v>45573</v>
      </c>
      <c r="C7" s="3" t="s">
        <v>52</v>
      </c>
      <c r="D7" s="3" t="s">
        <v>53</v>
      </c>
      <c r="E7" s="3" t="s">
        <v>37</v>
      </c>
      <c r="F7" s="3" t="s">
        <v>54</v>
      </c>
      <c r="G7" s="3" t="s">
        <v>55</v>
      </c>
      <c r="H7" s="5">
        <f t="shared" si="0"/>
        <v>730</v>
      </c>
      <c r="I7" s="7">
        <f t="shared" si="1"/>
        <v>46303</v>
      </c>
    </row>
    <row r="8" spans="1:9" x14ac:dyDescent="0.25">
      <c r="A8" s="6">
        <v>6</v>
      </c>
      <c r="B8" s="7">
        <v>45613</v>
      </c>
      <c r="C8" s="3" t="s">
        <v>56</v>
      </c>
      <c r="D8" s="3" t="s">
        <v>57</v>
      </c>
      <c r="E8" s="3" t="s">
        <v>37</v>
      </c>
      <c r="F8" s="3" t="s">
        <v>43</v>
      </c>
      <c r="G8" s="3" t="s">
        <v>58</v>
      </c>
      <c r="H8" s="5">
        <f t="shared" si="0"/>
        <v>730</v>
      </c>
      <c r="I8" s="7">
        <f t="shared" si="1"/>
        <v>46343</v>
      </c>
    </row>
    <row r="9" spans="1:9" x14ac:dyDescent="0.25">
      <c r="A9" s="6">
        <v>7</v>
      </c>
      <c r="B9" s="7">
        <v>45653</v>
      </c>
      <c r="C9" s="3" t="s">
        <v>59</v>
      </c>
      <c r="D9" s="3" t="s">
        <v>60</v>
      </c>
      <c r="E9" s="3" t="s">
        <v>42</v>
      </c>
      <c r="F9" s="3" t="s">
        <v>47</v>
      </c>
      <c r="G9" s="3" t="s">
        <v>61</v>
      </c>
      <c r="H9" s="5">
        <f t="shared" si="0"/>
        <v>730</v>
      </c>
      <c r="I9" s="7">
        <f t="shared" si="1"/>
        <v>46383</v>
      </c>
    </row>
    <row r="10" spans="1:9" x14ac:dyDescent="0.25">
      <c r="A10" s="6">
        <v>8</v>
      </c>
      <c r="B10" s="7">
        <v>45693</v>
      </c>
      <c r="C10" s="3" t="s">
        <v>62</v>
      </c>
      <c r="D10" s="3" t="s">
        <v>63</v>
      </c>
      <c r="E10" s="3" t="s">
        <v>37</v>
      </c>
      <c r="F10" s="3" t="s">
        <v>38</v>
      </c>
      <c r="G10" s="3" t="s">
        <v>64</v>
      </c>
      <c r="H10" s="5">
        <f t="shared" si="0"/>
        <v>730</v>
      </c>
      <c r="I10" s="7">
        <f t="shared" si="1"/>
        <v>46423</v>
      </c>
    </row>
    <row r="11" spans="1:9" x14ac:dyDescent="0.25">
      <c r="A11" s="6">
        <v>9</v>
      </c>
      <c r="B11" s="7">
        <v>45733</v>
      </c>
      <c r="C11" s="3" t="s">
        <v>65</v>
      </c>
      <c r="D11" s="3" t="s">
        <v>66</v>
      </c>
      <c r="E11" s="3" t="s">
        <v>42</v>
      </c>
      <c r="F11" s="3" t="s">
        <v>54</v>
      </c>
      <c r="G11" s="3" t="s">
        <v>67</v>
      </c>
      <c r="H11" s="5">
        <f t="shared" si="0"/>
        <v>730</v>
      </c>
      <c r="I11" s="7">
        <f t="shared" si="1"/>
        <v>46463</v>
      </c>
    </row>
    <row r="12" spans="1:9" x14ac:dyDescent="0.25">
      <c r="A12" s="6">
        <v>10</v>
      </c>
      <c r="B12" s="7">
        <v>45773</v>
      </c>
      <c r="C12" s="3" t="s">
        <v>68</v>
      </c>
      <c r="D12" s="3" t="s">
        <v>69</v>
      </c>
      <c r="E12" s="3" t="s">
        <v>42</v>
      </c>
      <c r="F12" s="3" t="s">
        <v>38</v>
      </c>
      <c r="G12" s="3" t="s">
        <v>70</v>
      </c>
      <c r="H12" s="5">
        <f t="shared" si="0"/>
        <v>730</v>
      </c>
      <c r="I12" s="7">
        <f t="shared" si="1"/>
        <v>46503</v>
      </c>
    </row>
    <row r="13" spans="1:9" x14ac:dyDescent="0.25">
      <c r="A13" s="6">
        <v>11</v>
      </c>
      <c r="B13" s="7">
        <v>45813</v>
      </c>
      <c r="C13" s="3" t="s">
        <v>71</v>
      </c>
      <c r="D13" s="3" t="s">
        <v>72</v>
      </c>
      <c r="E13" s="3" t="s">
        <v>37</v>
      </c>
      <c r="F13" s="3" t="s">
        <v>47</v>
      </c>
      <c r="G13" s="3" t="s">
        <v>73</v>
      </c>
      <c r="H13" s="5">
        <f t="shared" si="0"/>
        <v>730</v>
      </c>
      <c r="I13" s="7">
        <f t="shared" si="1"/>
        <v>46543</v>
      </c>
    </row>
    <row r="14" spans="1:9" x14ac:dyDescent="0.25">
      <c r="A14" s="6">
        <v>12</v>
      </c>
      <c r="B14" s="7">
        <v>45853</v>
      </c>
      <c r="C14" s="3" t="s">
        <v>74</v>
      </c>
      <c r="D14" s="3" t="s">
        <v>75</v>
      </c>
      <c r="E14" s="3" t="s">
        <v>42</v>
      </c>
      <c r="F14" s="3" t="s">
        <v>43</v>
      </c>
      <c r="G14" s="3" t="s">
        <v>76</v>
      </c>
      <c r="H14" s="5">
        <f t="shared" si="0"/>
        <v>730</v>
      </c>
      <c r="I14" s="7">
        <f t="shared" si="1"/>
        <v>46583</v>
      </c>
    </row>
    <row r="15" spans="1:9" x14ac:dyDescent="0.25">
      <c r="A15" s="6">
        <v>13</v>
      </c>
      <c r="B15" s="7">
        <v>45893</v>
      </c>
      <c r="C15" s="3" t="s">
        <v>77</v>
      </c>
      <c r="D15" s="3" t="s">
        <v>78</v>
      </c>
      <c r="E15" s="3" t="s">
        <v>37</v>
      </c>
      <c r="F15" s="3" t="s">
        <v>54</v>
      </c>
      <c r="G15" s="3" t="s">
        <v>79</v>
      </c>
      <c r="H15" s="5">
        <f t="shared" si="0"/>
        <v>730</v>
      </c>
      <c r="I15" s="7">
        <f t="shared" si="1"/>
        <v>46623</v>
      </c>
    </row>
    <row r="16" spans="1:9" x14ac:dyDescent="0.25">
      <c r="A16" s="6">
        <v>14</v>
      </c>
      <c r="B16" s="7">
        <v>45933</v>
      </c>
      <c r="C16" s="3" t="s">
        <v>80</v>
      </c>
      <c r="D16" s="3" t="s">
        <v>81</v>
      </c>
      <c r="E16" s="3" t="s">
        <v>42</v>
      </c>
      <c r="F16" s="3" t="s">
        <v>38</v>
      </c>
      <c r="G16" s="3" t="s">
        <v>82</v>
      </c>
      <c r="H16" s="5">
        <f t="shared" si="0"/>
        <v>730</v>
      </c>
      <c r="I16" s="7">
        <f t="shared" si="1"/>
        <v>46663</v>
      </c>
    </row>
    <row r="17" spans="1:9" x14ac:dyDescent="0.25">
      <c r="A17" s="6">
        <v>15</v>
      </c>
      <c r="B17" s="7">
        <v>45973</v>
      </c>
      <c r="C17" s="3" t="s">
        <v>83</v>
      </c>
      <c r="D17" s="3" t="s">
        <v>84</v>
      </c>
      <c r="E17" s="3" t="s">
        <v>37</v>
      </c>
      <c r="F17" s="3" t="s">
        <v>43</v>
      </c>
      <c r="G17" s="3" t="s">
        <v>85</v>
      </c>
      <c r="H17" s="5">
        <f t="shared" si="0"/>
        <v>730</v>
      </c>
      <c r="I17" s="7">
        <f t="shared" si="1"/>
        <v>46703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Proposta</vt:lpstr>
      <vt:lpstr>Clientes</vt:lpstr>
      <vt:lpstr>Técnico</vt:lpstr>
      <vt:lpstr>Serviços</vt:lpstr>
      <vt:lpstr>Equipamentos</vt:lpstr>
      <vt:lpstr>Clientes</vt:lpstr>
      <vt:lpstr>Serviços</vt:lpstr>
      <vt:lpstr>Tecnico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</cp:lastModifiedBy>
  <cp:lastPrinted>2026-09-15T18:54:59Z</cp:lastPrinted>
  <dcterms:created xsi:type="dcterms:W3CDTF">2026-09-09T17:17:51Z</dcterms:created>
  <dcterms:modified xsi:type="dcterms:W3CDTF">2026-09-15T18:55:06Z</dcterms:modified>
</cp:coreProperties>
</file>