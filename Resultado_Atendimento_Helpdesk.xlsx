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 Atendimento" sheetId="1" state="visible" r:id="rId1"/>
    <sheet xmlns:r="http://schemas.openxmlformats.org/officeDocument/2006/relationships" name="Chamados por Status e Ca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B3C5D"/>
        <bgColor rgb="000B3C5D"/>
      </patternFill>
    </fill>
    <fill>
      <patternFill patternType="solid">
        <fgColor rgb="00F4F7F9"/>
        <bgColor rgb="00F4F7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3" fontId="0" fillId="0" borderId="1" pivotButton="0" quotePrefix="0" xfId="0"/>
    <xf numFmtId="3" fontId="0" fillId="3" borderId="1" pivotButton="0" quotePrefix="0" xfId="0"/>
    <xf numFmtId="0" fontId="2" fillId="3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de Chamados por Canal e Status ITIL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'Chamados por Status e Canal'!B1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'Chamados por Status e Canal'!$A$2:$A$4</f>
            </numRef>
          </cat>
          <val>
            <numRef>
              <f>'Chamados por Status e Canal'!$B$2:$B$4</f>
            </numRef>
          </val>
        </ser>
        <ser>
          <idx val="1"/>
          <order val="1"/>
          <tx>
            <strRef>
              <f>'Chamados por Status e Canal'!C1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'Chamados por Status e Canal'!$A$2:$A$4</f>
            </numRef>
          </cat>
          <val>
            <numRef>
              <f>'Chamados por Status e Canal'!$C$2:$C$4</f>
            </numRef>
          </val>
        </ser>
        <ser>
          <idx val="2"/>
          <order val="2"/>
          <tx>
            <strRef>
              <f>'Chamados por Status e Canal'!D1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'Chamados por Status e Canal'!$A$2:$A$4</f>
            </numRef>
          </cat>
          <val>
            <numRef>
              <f>'Chamados por Status e Canal'!$D$2:$D$4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Canais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 de Chamados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9" customWidth="1" min="3" max="3"/>
    <col width="25" customWidth="1" min="4" max="4"/>
  </cols>
  <sheetData>
    <row r="1">
      <c r="A1" s="1" t="inlineStr">
        <is>
          <t>Métrica Operacional</t>
        </is>
      </c>
      <c r="B1" s="1" t="inlineStr">
        <is>
          <t>Valor Obtido</t>
        </is>
      </c>
      <c r="C1" s="1" t="inlineStr">
        <is>
          <t>Meta SLA / ITIL</t>
        </is>
      </c>
      <c r="D1" s="1" t="inlineStr">
        <is>
          <t>Status Métrica</t>
        </is>
      </c>
    </row>
    <row r="2">
      <c r="A2" s="2" t="inlineStr">
        <is>
          <t>Total de Chamados Abertos (Mês)</t>
        </is>
      </c>
      <c r="B2" s="2" t="n">
        <v>450</v>
      </c>
      <c r="C2" s="2" t="n">
        <v>500</v>
      </c>
      <c r="D2" s="2" t="inlineStr">
        <is>
          <t>Dentro da Capacidade</t>
        </is>
      </c>
    </row>
    <row r="3">
      <c r="A3" s="3" t="inlineStr">
        <is>
          <t>Chamados Resolvidos no N1 (First Contact Resolution)</t>
        </is>
      </c>
      <c r="B3" s="3" t="n">
        <v>382</v>
      </c>
      <c r="C3" s="3" t="n">
        <v>350</v>
      </c>
      <c r="D3" s="3" t="inlineStr">
        <is>
          <t>Meta Atingida (84.8%)</t>
        </is>
      </c>
    </row>
    <row r="4">
      <c r="A4" s="2" t="inlineStr">
        <is>
          <t>Tempo Médio de Primeira Resposta (TMR)</t>
        </is>
      </c>
      <c r="B4" s="2" t="inlineStr">
        <is>
          <t>14 minutos</t>
        </is>
      </c>
      <c r="C4" s="2" t="inlineStr">
        <is>
          <t>&lt; 30 minutos</t>
        </is>
      </c>
      <c r="D4" s="2" t="inlineStr">
        <is>
          <t>Excelente</t>
        </is>
      </c>
    </row>
    <row r="5">
      <c r="A5" s="3" t="inlineStr">
        <is>
          <t>Tempo Médio de Solução (TMS)</t>
        </is>
      </c>
      <c r="B5" s="3" t="inlineStr">
        <is>
          <t>2.4 horas</t>
        </is>
      </c>
      <c r="C5" s="3" t="inlineStr">
        <is>
          <t>&lt; 4.0 horas</t>
        </is>
      </c>
      <c r="D5" s="3" t="inlineStr">
        <is>
          <t>Excelente</t>
        </is>
      </c>
    </row>
    <row r="6">
      <c r="A6" s="2" t="inlineStr">
        <is>
          <t>Índice de Cumprimento do SLA</t>
        </is>
      </c>
      <c r="B6" s="2" t="inlineStr">
        <is>
          <t>96.4%</t>
        </is>
      </c>
      <c r="C6" s="2" t="inlineStr">
        <is>
          <t>&gt; 95.0%</t>
        </is>
      </c>
      <c r="D6" s="2" t="inlineStr">
        <is>
          <t>Conforme ITIL</t>
        </is>
      </c>
    </row>
    <row r="7">
      <c r="A7" s="3" t="inlineStr">
        <is>
          <t>Trocas de Equipamento Realizadas (Swap Parque 50)</t>
        </is>
      </c>
      <c r="B7" s="3" t="n">
        <v>12</v>
      </c>
      <c r="C7" s="3" t="n">
        <v>50</v>
      </c>
      <c r="D7" s="3" t="inlineStr">
        <is>
          <t>Estoque Suficiente</t>
        </is>
      </c>
    </row>
    <row r="8">
      <c r="A8" s="2" t="inlineStr">
        <is>
          <t>Taxa de Satisfação do Cliente (CSAT)</t>
        </is>
      </c>
      <c r="B8" s="2" t="inlineStr">
        <is>
          <t>4.85 / 5.0</t>
        </is>
      </c>
      <c r="C8" s="2" t="inlineStr">
        <is>
          <t>&gt; 4.50</t>
        </is>
      </c>
      <c r="D8" s="2" t="inlineStr">
        <is>
          <t>Excelente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25" customWidth="1" min="4" max="4"/>
    <col width="19" customWidth="1" min="5" max="5"/>
  </cols>
  <sheetData>
    <row r="1">
      <c r="A1" s="1" t="inlineStr">
        <is>
          <t>Canal de Atendimento</t>
        </is>
      </c>
      <c r="B1" s="1" t="inlineStr">
        <is>
          <t>Chamados Abertos (Verde)</t>
        </is>
      </c>
      <c r="C1" s="1" t="inlineStr">
        <is>
          <t>Em Atendimento (Amarelo)</t>
        </is>
      </c>
      <c r="D1" s="1" t="inlineStr">
        <is>
          <t>Encerrados (Vermelho)</t>
        </is>
      </c>
      <c r="E1" s="1" t="inlineStr">
        <is>
          <t>Total Por Canal</t>
        </is>
      </c>
    </row>
    <row r="2">
      <c r="A2" s="2" t="inlineStr">
        <is>
          <t>WhatsApp Business</t>
        </is>
      </c>
      <c r="B2" s="4" t="n">
        <v>15</v>
      </c>
      <c r="C2" s="4" t="n">
        <v>8</v>
      </c>
      <c r="D2" s="4" t="n">
        <v>210</v>
      </c>
      <c r="E2" s="4">
        <f>SUM(B2:D2)</f>
        <v/>
      </c>
    </row>
    <row r="3">
      <c r="A3" s="3" t="inlineStr">
        <is>
          <t>E-mail Integrado</t>
        </is>
      </c>
      <c r="B3" s="5" t="n">
        <v>10</v>
      </c>
      <c r="C3" s="5" t="n">
        <v>5</v>
      </c>
      <c r="D3" s="5" t="n">
        <v>120</v>
      </c>
      <c r="E3" s="5">
        <f>SUM(B3:D3)</f>
        <v/>
      </c>
    </row>
    <row r="4">
      <c r="A4" s="2" t="inlineStr">
        <is>
          <t>Portal Web (Sistema)</t>
        </is>
      </c>
      <c r="B4" s="4" t="n">
        <v>8</v>
      </c>
      <c r="C4" s="4" t="n">
        <v>4</v>
      </c>
      <c r="D4" s="4" t="n">
        <v>70</v>
      </c>
      <c r="E4" s="4">
        <f>SUM(B4:D4)</f>
        <v/>
      </c>
    </row>
    <row r="5">
      <c r="A5" s="6" t="inlineStr">
        <is>
          <t>TOTAL OPERACIONAL</t>
        </is>
      </c>
      <c r="B5" s="7">
        <f>SUM(B2:B4)</f>
        <v/>
      </c>
      <c r="C5" s="7">
        <f>SUM(C2:C4)</f>
        <v/>
      </c>
      <c r="D5" s="7">
        <f>SUM(D2:D4)</f>
        <v/>
      </c>
      <c r="E5" s="7">
        <f>SUM(E2:E4)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2026-10-08T18:26:41Z</dcterms:created>
  <dcterms:modified xmlns:dcterms="http://purl.org/dc/terms/" xmlns:xsi="http://www.w3.org/2001/XMLSchema-instance" xsi:type="dcterms:W3CDTF">2026-10-08T18:26:41Z</dcterms:modified>
</cp:coreProperties>
</file>